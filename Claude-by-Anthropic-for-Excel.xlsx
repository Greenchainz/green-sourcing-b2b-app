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E0B90E0F-11DA-457D-9EB4-E2EC72E9FF52}" xr6:coauthVersionLast="47" xr6:coauthVersionMax="47" xr10:uidLastSave="{00000000-0000-0000-0000-000000000000}"/>
  <bookViews>
    <workbookView xWindow="-120" yWindow="-120" windowWidth="29040" windowHeight="15720" activeTab="3" xr2:uid="{51658058-8315-A640-B733-1DFC39D6EEC8}"/>
  </bookViews>
  <sheets>
    <sheet name="Dashboard" sheetId="1" r:id="rId1"/>
    <sheet name="Decision Maker Roles" sheetId="4" r:id="rId2"/>
    <sheet name="Target Firms" sheetId="3" r:id="rId3"/>
    <sheet name="Supplier Targets" sheetId="2" r:id="rId4"/>
  </sheets>
  <definedNames>
    <definedName name="_xlnm._FilterDatabase" localSheetId="1" hidden="1">'Decision Maker Roles'!$A$1:$G$1</definedName>
    <definedName name="_xlnm._FilterDatabase" localSheetId="3" hidden="1">'Supplier Targets'!$A$1:$J$1</definedName>
    <definedName name="_xlnm._FilterDatabase" localSheetId="2" hidden="1">'Target Firms'!$A$1:$D$1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B17" i="1"/>
  <c r="B14" i="1"/>
  <c r="B13" i="1"/>
  <c r="B12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<sst xmlns="http://schemas.openxmlformats.org/spreadsheetml/2006/main" count="1779" uniqueCount="983">
  <si>
    <t>Company Name</t>
  </si>
  <si>
    <t>Category</t>
  </si>
  <si>
    <t>Subcategory</t>
  </si>
  <si>
    <t>Location</t>
  </si>
  <si>
    <t>Key Product</t>
  </si>
  <si>
    <t>GreenChainz Pitch Angle</t>
  </si>
  <si>
    <t>Has EPD</t>
  </si>
  <si>
    <t>Readiness Level</t>
  </si>
  <si>
    <t>Notes</t>
  </si>
  <si>
    <t>Source</t>
  </si>
  <si>
    <t>Prometheus Materials</t>
  </si>
  <si>
    <t>Concrete / Cement</t>
  </si>
  <si>
    <t>Bio-Cement</t>
  </si>
  <si>
    <t>Colorado, USA</t>
  </si>
  <si>
    <t>Specification Security</t>
  </si>
  <si>
    <t>unknown</t>
  </si>
  <si>
    <t>high</t>
  </si>
  <si>
    <t>Ecosystem Analysis PDF</t>
  </si>
  <si>
    <t>Biomason</t>
  </si>
  <si>
    <t>North Carolina, USA</t>
  </si>
  <si>
    <t>Brimstone</t>
  </si>
  <si>
    <t>Low-Carbon Portland Cement</t>
  </si>
  <si>
    <t>California, USA</t>
  </si>
  <si>
    <t>Drop-in Replacement</t>
  </si>
  <si>
    <t>ProZERO (algae bio-cement / precast CMU blocks)</t>
  </si>
  <si>
    <t>Specification Security — present ASTM compliance data alongside the 'cool factor' to bypass engineer fear of biological degradation</t>
  </si>
  <si>
    <t>University of Colorado Boulder spin-off; uses microalgae to produce bio-cement; transitioning from 'science project' to 'standard spec'; prime Founding 50 target</t>
  </si>
  <si>
    <t>Biolith tiles (bacterial cement grown at ambient temperature)</t>
  </si>
  <si>
    <t>From Niche to Norm — find early-adopter architects (HOK, Gensler) willing to specify bio-based materials for non-structural applications as gateway to structural use</t>
  </si>
  <si>
    <t>Grows cement using Sporosarcina pasteurii bacteria; commercial applications in tiles/pavers/facades; challenge is scaling to structural</t>
  </si>
  <si>
    <t>Zero-carbon Portland cement from calcium silicate rocks (chemically identical to OPC)</t>
  </si>
  <si>
    <t>Drop-in Replacement — intercept specs for 'Portland Cement Type I/II' and flag Brimstone as functionally identical but carbon-superior; no re-engineering required</t>
  </si>
  <si>
    <t>Process creates no process emissions; yields magnesium byproduct that actively absorbs CO2; massive selling point for risk-averse structural engineers</t>
  </si>
  <si>
    <t>Fortera</t>
  </si>
  <si>
    <t>Carbon-Captured Cementitious Material</t>
  </si>
  <si>
    <t>ReCarb (CO2-mineralized supplementary cementitious material)</t>
  </si>
  <si>
    <t>The Carbon Sink — position ReCarb as a carbon removal credit for Net Zero certification</t>
  </si>
  <si>
    <t>Intercepts CO2 from existing cement plant flues; blends into cement lowering GWP by 10-60%</t>
  </si>
  <si>
    <t>Sublime Systems</t>
  </si>
  <si>
    <t>Electrochemical Cement</t>
  </si>
  <si>
    <t>Massachusetts, USA</t>
  </si>
  <si>
    <t>Electrochemically produced cement (ambient temperature, fossil-fuel-free)</t>
  </si>
  <si>
    <t>Deep Tech to Spec Language — translate electrochemical advantages into simple 'Carbon Saved per Ton' metrics</t>
  </si>
  <si>
    <t>medium</t>
  </si>
  <si>
    <t>MIT spin-off; high technical credibility but low market penetration vs. giants like Holcim</t>
  </si>
  <si>
    <t>Geopolymer Solutions</t>
  </si>
  <si>
    <t>Geopolymer</t>
  </si>
  <si>
    <t>Illinois, USA</t>
  </si>
  <si>
    <t>Cold Fusion Concrete (geopolymer, acid/salt/heat resistant)</t>
  </si>
  <si>
    <t>Durability as Sustainability — showcase aesthetic/sustainability benefits; move from petrochemical/industrial to commercial</t>
  </si>
  <si>
    <t>Historically targets industrial applications; needs platform to break into high-end residential and commercial</t>
  </si>
  <si>
    <t>Wagners</t>
  </si>
  <si>
    <t>Australia / Global</t>
  </si>
  <si>
    <t>Earth Friendly Concrete (EFC) — zero Portland cement geopolymer</t>
  </si>
  <si>
    <t>Vertical Built Environment — expand from horizontal infrastructure to vertical building construction</t>
  </si>
  <si>
    <t>Proven success in major infrastructure (Brisbane West Wellcamp Airport); needs spec channel into vertical buildings</t>
  </si>
  <si>
    <t>Urban Mining CT</t>
  </si>
  <si>
    <t>Recycled Glass Pozzolan</t>
  </si>
  <si>
    <t>Connecticut, USA</t>
  </si>
  <si>
    <t>Pozzotive (high-performance pozzolan from 100% recycled post-consumer glass)</t>
  </si>
  <si>
    <t>Hyper-Local Circularity — geo-target Northeast US architects; flag double LEED credit for NYC/Boston projects</t>
  </si>
  <si>
    <t>Solves waste glass crisis + reduces concrete carbon footprint simultaneously; strong LEED play for regional projects</t>
  </si>
  <si>
    <t>C-Crete Technologies</t>
  </si>
  <si>
    <t>Ceramic Concrete</t>
  </si>
  <si>
    <t>Ceramic-like Portland-cement-free concrete (pourable like traditional concrete)</t>
  </si>
  <si>
    <t>Zero-Training Transition — crews need no new pouring techniques; removes major barrier to novel material adoption</t>
  </si>
  <si>
    <t>Targets hard-to-abate sector; no new workforce training required is key selling point</t>
  </si>
  <si>
    <t>Blue Planet</t>
  </si>
  <si>
    <t>Carbon-Sequestering Aggregate</t>
  </si>
  <si>
    <t>CO2-mineralized limestone-coated aggregate (carbon-negative concrete aggregate)</t>
  </si>
  <si>
    <t>Offset Inside the Mix — aggregate as the carbon hero; allows carbon-negative concrete without changing preferred structural cement supplier</t>
  </si>
  <si>
    <t>Captures CO2 from flue gas and grows limestone coating on rock particles; enables Carbon Negative Concrete without changing cement</t>
  </si>
  <si>
    <t>CarbiCrete</t>
  </si>
  <si>
    <t>Carbon-Sequestering Precast</t>
  </si>
  <si>
    <t>Canada</t>
  </si>
  <si>
    <t>Steel slag + CO2-cured precast blocks (no Portland cement)</t>
  </si>
  <si>
    <t>The Precast Specialist — filter platform searches so CarbiCrete appears only for precast applications</t>
  </si>
  <si>
    <t>Eliminates cement entirely; uses steel slag waste; CO2 curing happens in factory (precast only)</t>
  </si>
  <si>
    <t>Solidia Technologies</t>
  </si>
  <si>
    <t>CO2-Cured Concrete</t>
  </si>
  <si>
    <t>Texas, USA</t>
  </si>
  <si>
    <t>CO2-cured lightweight/strong concrete (cures by absorbing CO2 instead of water)</t>
  </si>
  <si>
    <t>Water-Wise Concrete — pitch to architects in drought zones (California, Arizona) as water conservation play</t>
  </si>
  <si>
    <t>Curing process recovers most water; major sustainability play for water-scarce regions</t>
  </si>
  <si>
    <t>CarbonCure</t>
  </si>
  <si>
    <t>CO2 Injection Technology</t>
  </si>
  <si>
    <t>Nova Scotia, Canada</t>
  </si>
  <si>
    <t>CO2 injection technology for ready-mix concrete (reduces cement usage, strengthens concrete)</t>
  </si>
  <si>
    <t>Local Availability — integrate their 'producer finder' map into platform so architects find nearest plant using CarbonCure technology</t>
  </si>
  <si>
    <t>Technology provider, not material manufacturer; massive network of partner ready-mix plants; strong geographic play</t>
  </si>
  <si>
    <t>Eco Material Technologies</t>
  </si>
  <si>
    <t>Green Cement</t>
  </si>
  <si>
    <t>USA</t>
  </si>
  <si>
    <t>Green cement supplementary cementitious materials</t>
  </si>
  <si>
    <t>Listed in Master Directory Category A; Low-Carbon Concrete &amp; Masonry</t>
  </si>
  <si>
    <t>Terra CO2</t>
  </si>
  <si>
    <t>Low-Carbon Cementitious</t>
  </si>
  <si>
    <t>Low-carbon cementitious materials</t>
  </si>
  <si>
    <t>Partanna</t>
  </si>
  <si>
    <t>Carbon-Negative Concrete</t>
  </si>
  <si>
    <t>Carbon-negative concrete</t>
  </si>
  <si>
    <t>The Carbon Sink</t>
  </si>
  <si>
    <t>Listed in Master Directory Category A; carbon-negative concrete product</t>
  </si>
  <si>
    <t>Hoffmann Green Cement</t>
  </si>
  <si>
    <t>Clinker-Free Cement</t>
  </si>
  <si>
    <t>France</t>
  </si>
  <si>
    <t>Clinker-free cement</t>
  </si>
  <si>
    <t>Listed in Master Directory Category A; clinker-free cement technology</t>
  </si>
  <si>
    <t>Ecocem</t>
  </si>
  <si>
    <t>GGBS Cement</t>
  </si>
  <si>
    <t>Europe / Global</t>
  </si>
  <si>
    <t>GGBS (Ground Granulated Blast-furnace Slag) low-carbon cement</t>
  </si>
  <si>
    <t>Listed in Master Directory Category A; GGBS supplementary cementitious material</t>
  </si>
  <si>
    <t>Heidelberg Materials</t>
  </si>
  <si>
    <t>Low-Carbon Concrete (Transitioning Incumbent)</t>
  </si>
  <si>
    <t>Germany / Global</t>
  </si>
  <si>
    <t>EcoCrete low-carbon concrete line</t>
  </si>
  <si>
    <t>Sell the specific green product lines (EcoCrete) within the incumbent portfolio</t>
  </si>
  <si>
    <t>yes</t>
  </si>
  <si>
    <t>Major incumbent transitioning to low carbon; platform approach is to surface their green product lines specifically</t>
  </si>
  <si>
    <t>Holcim</t>
  </si>
  <si>
    <t>Switzerland / Global</t>
  </si>
  <si>
    <t>ECOPact / ECOPlanet low-carbon concrete lines</t>
  </si>
  <si>
    <t>Sell the specific green product lines (ECOPact / ECOPlanet) within the incumbent portfolio</t>
  </si>
  <si>
    <t>Major global cement incumbent; platform surfaces specifically the green product lines to specifiers</t>
  </si>
  <si>
    <t>Mercer Mass Timber</t>
  </si>
  <si>
    <t>Mass Timber</t>
  </si>
  <si>
    <t>CLT / Glulam</t>
  </si>
  <si>
    <t>Washington / Arkansas, USA</t>
  </si>
  <si>
    <t>CLT and Glulam at industrial scale</t>
  </si>
  <si>
    <t>Capacity Optimization — connect with mid-market projects (schools, offices) to aggregate demand and optimize factory runs</t>
  </si>
  <si>
    <t>Large manufacturer with significant capacity; needs mid-market project volume to fill factory runs</t>
  </si>
  <si>
    <t>SmartLam North America</t>
  </si>
  <si>
    <t>CLT</t>
  </si>
  <si>
    <t>Montana / Alabama, USA</t>
  </si>
  <si>
    <t>CLT panels (Cross-Laminated Timber); first commercial US CLT manufacturer</t>
  </si>
  <si>
    <t>Sell Speed — calculate schedule savings of CLT vs. concrete for specific project</t>
  </si>
  <si>
    <t>First commercial US CLT manufacturer; deep history in industrial matting; SFI Chain-of-Custody certified</t>
  </si>
  <si>
    <t>Binderholz</t>
  </si>
  <si>
    <t>Mass Timber / CLT</t>
  </si>
  <si>
    <t>Austria / USA</t>
  </si>
  <si>
    <t>Mass timber products (CLT, glulam, solid wood)</t>
  </si>
  <si>
    <t>Global Tech, Local Code — translate European certifications into US-equivalent code compliance data</t>
  </si>
  <si>
    <t>Global European giant expanding aggressively into US; sophisticated EPDs; faces 'buy local' friction</t>
  </si>
  <si>
    <t>StructureCraft</t>
  </si>
  <si>
    <t>Engineered Timber Fabrication</t>
  </si>
  <si>
    <t>Signature structures and complex engineered timber fabrication</t>
  </si>
  <si>
    <t>Early Design Assist — connect in Schematic Design phase where structural input is most valuable</t>
  </si>
  <si>
    <t>Engineer-fabricators, not just suppliers; specialize in complex structural geometries</t>
  </si>
  <si>
    <t>Sterling Structural</t>
  </si>
  <si>
    <t>TerraLam CLT (industrial matting transitioning to building structures)</t>
  </si>
  <si>
    <t>Industrial-to-Architectural Bridge — introduce to architectural community as robust industrial-grade option</t>
  </si>
  <si>
    <t>Newer entrant moving from industrial to architectural markets</t>
  </si>
  <si>
    <t>Kalesnikoff</t>
  </si>
  <si>
    <t>Mass Timber / Glulam</t>
  </si>
  <si>
    <t>High-quality mass timber and glulam (multi-generational family company)</t>
  </si>
  <si>
    <t>Curated Quality — target high-end residential and boutique commercial architects</t>
  </si>
  <si>
    <t>Multi-generational family timber company; focus on high aesthetic quality and custom fabrication</t>
  </si>
  <si>
    <t>Nordic Structures</t>
  </si>
  <si>
    <t>Glulam / CLT</t>
  </si>
  <si>
    <t>Glulam and CLT mass timber</t>
  </si>
  <si>
    <t>Capacity Optimization</t>
  </si>
  <si>
    <t>Listed in Master Directory Category B; established Canadian mass timber manufacturer</t>
  </si>
  <si>
    <t>Sauter Timber</t>
  </si>
  <si>
    <t>Timber Fabrication</t>
  </si>
  <si>
    <t>Precision timber fabrication</t>
  </si>
  <si>
    <t>Early Design Assist</t>
  </si>
  <si>
    <t>Listed in Master Directory Category B; European timber fabricator</t>
  </si>
  <si>
    <t>SilvaSpan</t>
  </si>
  <si>
    <t>Wood Products</t>
  </si>
  <si>
    <t>Engineered wood products</t>
  </si>
  <si>
    <t>Listed in Master Directory Category B</t>
  </si>
  <si>
    <t>Element5</t>
  </si>
  <si>
    <t>CLT and glulam mass timber</t>
  </si>
  <si>
    <t>Listed in Master Directory Category B; Canadian mass timber manufacturer</t>
  </si>
  <si>
    <t>Arbor Wood Co.</t>
  </si>
  <si>
    <t>Wood / Timber</t>
  </si>
  <si>
    <t>Thermally Modified Wood</t>
  </si>
  <si>
    <t>Minnesota, USA</t>
  </si>
  <si>
    <t>Thermally modified timber (TMT) from domestic ash and pine</t>
  </si>
  <si>
    <t>Save the Rainforest, Specify Domestic — when architect searches for Ipe Decking, suggest Arbor Wood as domestic carbon-sequestering alternative</t>
  </si>
  <si>
    <t>Sustainable alternative to tropical hardwoods like Ipe (which drives rainforest deforestation)</t>
  </si>
  <si>
    <t>Thermory</t>
  </si>
  <si>
    <t>Estonia / USA</t>
  </si>
  <si>
    <t>Thermally modified ash and pine (decking, cladding, flooring)</t>
  </si>
  <si>
    <t>Real Wood, No Rot — highlight biophilic and end-of-life recycling advantages over plastic composites (Trex)</t>
  </si>
  <si>
    <t>Global leader in thermal modification; immense capacity and broad product range</t>
  </si>
  <si>
    <t>Delta Millworks</t>
  </si>
  <si>
    <t>Shou Sugi Ban / Modified Wood</t>
  </si>
  <si>
    <t>Shou Sugi Ban (charred wood) and thermally modified wood products</t>
  </si>
  <si>
    <t>Performance Art — justify premium cost by quantifying longevity as OpEx savings</t>
  </si>
  <si>
    <t>Deeply embedded in high-design community; platform must frame cost as long-term value</t>
  </si>
  <si>
    <t>Klaaswood</t>
  </si>
  <si>
    <t>Thermally modified wood with verified Equilibrium Moisture Content (EMC)</t>
  </si>
  <si>
    <t>The Callback Killer — push stability data to Construction Administration phase architects dealing with contractor callbacks</t>
  </si>
  <si>
    <t>Technical superiority with data proving stability prevents warping</t>
  </si>
  <si>
    <t>Kebony</t>
  </si>
  <si>
    <t>Furfurylated / Modified Wood</t>
  </si>
  <si>
    <t>Norway / Global</t>
  </si>
  <si>
    <t>Bio-modified softwood with hardwood-like properties (furfuryl alcohol from crop waste)</t>
  </si>
  <si>
    <t>The Hardwood Alternative — GWP Calculator showing carbon savings of Norwegian modified pine vs. shipping Ipe from Amazon</t>
  </si>
  <si>
    <t>Directly competes with tropical hardwoods on hardness and graying; furfuryl alcohol from crop waste</t>
  </si>
  <si>
    <t>Lunawood</t>
  </si>
  <si>
    <t>Thermowood</t>
  </si>
  <si>
    <t>Finland</t>
  </si>
  <si>
    <t>Thermowood (thermally modified timber)</t>
  </si>
  <si>
    <t>Scalable Sustainability — target large-scale developments where consistency of finish across 500 units is critical</t>
  </si>
  <si>
    <t>Global market leader in Thermowood; highly standardized product</t>
  </si>
  <si>
    <t>Accoya</t>
  </si>
  <si>
    <t>Acetylated Wood</t>
  </si>
  <si>
    <t>Netherlands / Global</t>
  </si>
  <si>
    <t>Acetylated wood (Accoya brand)</t>
  </si>
  <si>
    <t>The Hardwood Alternative</t>
  </si>
  <si>
    <t>Listed in Master Directory Category C; acetylated wood for durability without toxic preservatives</t>
  </si>
  <si>
    <t>Cambia (by NFP)</t>
  </si>
  <si>
    <t>Cambia thermally modified wood</t>
  </si>
  <si>
    <t>The Ethical Interceptor</t>
  </si>
  <si>
    <t>Listed in Master Directory Category C; thermally modified product line</t>
  </si>
  <si>
    <t>Nova USA Wood</t>
  </si>
  <si>
    <t>Sustainable Hardwoods</t>
  </si>
  <si>
    <t>Sustainable hardwood products</t>
  </si>
  <si>
    <t>Listed in Master Directory Category C; sustainable hardwoods</t>
  </si>
  <si>
    <t>Silva Timber</t>
  </si>
  <si>
    <t>Specialty Timber</t>
  </si>
  <si>
    <t>Specialty timber products</t>
  </si>
  <si>
    <t>Curated Quality</t>
  </si>
  <si>
    <t>Listed in Master Directory Category C; specialty timber</t>
  </si>
  <si>
    <t>Hempitecture</t>
  </si>
  <si>
    <t>Insulation / Bio-Based</t>
  </si>
  <si>
    <t>Hemp Insulation / Hempcrete</t>
  </si>
  <si>
    <t>Idaho, USA</t>
  </si>
  <si>
    <t>HempWool insulation and hempcrete blocks (first US industrial-scale hemp insulation plant)</t>
  </si>
  <si>
    <t>Health &amp; Safety — no itching, no VOCs, carbon storage; target 'Healthy Building' specifiers</t>
  </si>
  <si>
    <t>First true US industrial hemp insulation player; platform places HempWool as direct substitute for fiberglass batts</t>
  </si>
  <si>
    <t>IsoHemp</t>
  </si>
  <si>
    <t>Hempcrete Blocks</t>
  </si>
  <si>
    <t>Belgium</t>
  </si>
  <si>
    <t>Prefabricated hempcrete blocks (5 million blocks/year capacity)</t>
  </si>
  <si>
    <t>The Mason's Green Block — promote as Masonry Unit replacement; standard masons can install without specialized training</t>
  </si>
  <si>
    <t>Solved drying time issue of cast-in-place hempcrete; Europe's largest hemp block factory</t>
  </si>
  <si>
    <t>Americhanvre</t>
  </si>
  <si>
    <t>Spray Hempcrete</t>
  </si>
  <si>
    <t>Pennsylvania, USA</t>
  </si>
  <si>
    <t>Spray-applied hempcrete ('Cast Hemp' methodology)</t>
  </si>
  <si>
    <t>Spray-Applied Sustainability — highlight spray application to Value Engineers looking to reduce schedule time</t>
  </si>
  <si>
    <t>Spray application drastically reduces labor costs; addresses biggest barrier to hempcrete adoption</t>
  </si>
  <si>
    <t>HempBlock USA</t>
  </si>
  <si>
    <t>Hemp Blocks</t>
  </si>
  <si>
    <t>Colorado / Global</t>
  </si>
  <si>
    <t>Biosys hemp block system (interlocking blocks without mortar)</t>
  </si>
  <si>
    <t>The LEGO System for Adults — target owner-builders and small residential developers</t>
  </si>
  <si>
    <t>Distributor of Biosys hemp block system; interlocking system like LEGOs</t>
  </si>
  <si>
    <t>EcoCocon</t>
  </si>
  <si>
    <t>Structural Straw Panels</t>
  </si>
  <si>
    <t>Lithuania / USA</t>
  </si>
  <si>
    <t>Cradle-to-cradle certified structural straw panel system (prefabricated to millimeter precision)</t>
  </si>
  <si>
    <t>Prefabricated Passive House — position as Passivhaus Shell System emphasizing speed of airtight envelope achievement</t>
  </si>
  <si>
    <t>Cradle-to-cradle certified; factory-made panels with millimeter precision; not 'bales in a field'</t>
  </si>
  <si>
    <t>ModCell</t>
  </si>
  <si>
    <t>Straw Bale Panels</t>
  </si>
  <si>
    <t>UK</t>
  </si>
  <si>
    <t>Straw bale cladding panels for schools and commercial buildings</t>
  </si>
  <si>
    <t>Institutional Decarbonization — show universities/municipalities how single school built with ModCell can offset carbon of three concrete schools</t>
  </si>
  <si>
    <t>Pioneers of prefabricated straw bale cladding; proven in schools and commercial buildings</t>
  </si>
  <si>
    <t>MOSO Bamboo</t>
  </si>
  <si>
    <t>Bamboo Flooring / Decking / Cladding</t>
  </si>
  <si>
    <t>Bamboo flooring, decking, beams, panels, veneer</t>
  </si>
  <si>
    <t>Harder than Oak, Faster than Grass — target commercial interior designers for high-traffic retail and airport flooring</t>
  </si>
  <si>
    <t>Global leader in bamboo products; bamboo is harder than oak; great for high-traffic commercial applications</t>
  </si>
  <si>
    <t>Lamboo</t>
  </si>
  <si>
    <t>Structural / Architectural Bamboo</t>
  </si>
  <si>
    <t>Engineered bamboo for structural and architectural applications</t>
  </si>
  <si>
    <t>Structural Bamboo — connect with structural engineers for high-strength renewable beams</t>
  </si>
  <si>
    <t>Can replace glulam beams in some applications; high-strength renewable structural option</t>
  </si>
  <si>
    <t>dassoXTR</t>
  </si>
  <si>
    <t>Exterior Bamboo</t>
  </si>
  <si>
    <t>China / USA</t>
  </si>
  <si>
    <t>Fused bamboo for exterior decking and cladding</t>
  </si>
  <si>
    <t>Fire-Rated Bamboo — target landscape architects for boardwalks; offer Class A fire rating option</t>
  </si>
  <si>
    <t>Fusing process makes bamboo weather/rot resistant; Class A fire rating available</t>
  </si>
  <si>
    <t>Plyboo</t>
  </si>
  <si>
    <t>Bamboo Plywood / Acoustic Panels</t>
  </si>
  <si>
    <t>Bamboo plywood and acoustic panels</t>
  </si>
  <si>
    <t>Acoustic Aesthetics — target acousticians and office designers needing noise control that looks beautiful</t>
  </si>
  <si>
    <t>High-design bamboo plywood and acoustic panel collection</t>
  </si>
  <si>
    <t>New Frameworks</t>
  </si>
  <si>
    <t>Natural Building / Straw</t>
  </si>
  <si>
    <t>Straw panel and natural building systems</t>
  </si>
  <si>
    <t>Prefabricated Passive House</t>
  </si>
  <si>
    <t>low</t>
  </si>
  <si>
    <t>Listed in Master Directory Category D; natural building contractor/supplier</t>
  </si>
  <si>
    <t>Stelcor</t>
  </si>
  <si>
    <t>ICF / Agri-Based</t>
  </si>
  <si>
    <t>ICF / agri-based insulation systems</t>
  </si>
  <si>
    <t>Listed in Master Directory Category D; insulated concrete form with agri-based components</t>
  </si>
  <si>
    <t>CalPlant</t>
  </si>
  <si>
    <t>Rice Straw MDF</t>
  </si>
  <si>
    <t>Rice straw MDF panels</t>
  </si>
  <si>
    <t>Hyper-Local Circularity</t>
  </si>
  <si>
    <t>Listed in Master Directory Category D; rice straw MDF — check current operational status</t>
  </si>
  <si>
    <t>FabBRICK</t>
  </si>
  <si>
    <t>Circular Economy / Waste</t>
  </si>
  <si>
    <t>Textile Waste Bricks</t>
  </si>
  <si>
    <t>Decorative/insulating bricks from shredded textile waste</t>
  </si>
  <si>
    <t>Build With Your Own Waste — target retail store planners (fashion brands) wanting to build from their own recycled clothing</t>
  </si>
  <si>
    <t>Each brick visually tells the story of the recycled clothes; strong brand storytelling angle</t>
  </si>
  <si>
    <t>Greenful</t>
  </si>
  <si>
    <t>Textile Waste Panels</t>
  </si>
  <si>
    <t>UK / Europe</t>
  </si>
  <si>
    <t>Structural building panels and cladding from textile waste</t>
  </si>
  <si>
    <t>The New MDF — validate structural certifications; prove viable alternative for general construction sheathing</t>
  </si>
  <si>
    <t>Industrial scale unlike FabBRICK; targets commodity board market</t>
  </si>
  <si>
    <t>ByFusion</t>
  </si>
  <si>
    <t>Plastic Waste Blocks</t>
  </si>
  <si>
    <t>ByBlock construction blocks from non-recyclable plastic (types 3-7)</t>
  </si>
  <si>
    <t>Community-Scale Upcycling — connect with municipal procurement officers solving local plastic waste crises</t>
  </si>
  <si>
    <t>Blocker' machines convert non-recyclable plastic; can sell machines to municipalities or blocks to builders</t>
  </si>
  <si>
    <t>Tangent Materials</t>
  </si>
  <si>
    <t>Recycled HDPE Lumber</t>
  </si>
  <si>
    <t>Recycled HDPE lumber for marine and park applications</t>
  </si>
  <si>
    <t>The Marine Standard — target landscape architects and civil engineers specifying boardwalks/piers</t>
  </si>
  <si>
    <t>Replaces treated lumber in harsh marine environments; extreme durability</t>
  </si>
  <si>
    <t>The Good Plastic Company</t>
  </si>
  <si>
    <t>Recycled Plastic Panels</t>
  </si>
  <si>
    <t>Netherlands</t>
  </si>
  <si>
    <t>Polygood — 100% recycled plastic panels with terrazzo aesthetic</t>
  </si>
  <si>
    <t>Plastic Terrazzo — target visual merchandisers for statement pieces carrying Cradle to Cradle certification</t>
  </si>
  <si>
    <t>Prevents downcycling by creating premium aesthetic; Cradle to Cradle certified</t>
  </si>
  <si>
    <t>Ultra-Poly</t>
  </si>
  <si>
    <t>Recycled Plastic Resins</t>
  </si>
  <si>
    <t>Recycled resins for building products (large-scale plastic recycler)</t>
  </si>
  <si>
    <t>The Recycled Feedstock — connect with building product manufacturers needing recycled content for LEED requirements</t>
  </si>
  <si>
    <t>One of the largest plastic recyclers; raw material supplier to other manufacturers</t>
  </si>
  <si>
    <t>American Plastic Lumber</t>
  </si>
  <si>
    <t>Recycled Plastic Lumber</t>
  </si>
  <si>
    <t>Wisconsin, USA</t>
  </si>
  <si>
    <t>Recycled plastic lumber for industrial use</t>
  </si>
  <si>
    <t>Industrial Strength Recycling — target industrial facility managers needing rot-proof blocking</t>
  </si>
  <si>
    <t>Heavy-duty industrial applications; rot-proof blocking replacement</t>
  </si>
  <si>
    <t>StoneCycling</t>
  </si>
  <si>
    <t>Waste-Based Bricks</t>
  </si>
  <si>
    <t>WasteBasedBricks (from construction demolition waste)</t>
  </si>
  <si>
    <t>Site-Specific Circularity — take demolition waste from a specific site and turn it into bricks for the new building on the same site</t>
  </si>
  <si>
    <t>Bespoke upcycling; affiliated with FRONT materials hub; circular economy narrative is strong</t>
  </si>
  <si>
    <t>Front</t>
  </si>
  <si>
    <t>Waste-Based Materials Hub</t>
  </si>
  <si>
    <t>Waste-based aesthetic building materials (affiliated with StoneCycling)</t>
  </si>
  <si>
    <t>Waste as a Palette — serve as digital catalog allowing architects to 'shop by waste stream'</t>
  </si>
  <si>
    <t>Materials hub focusing on waste-based aesthetics; affiliated with StoneCycling</t>
  </si>
  <si>
    <t>Agrocrete (GreenJams)</t>
  </si>
  <si>
    <t>Crop Residue Blocks</t>
  </si>
  <si>
    <t>India</t>
  </si>
  <si>
    <t>Carbon-negative blocks from crop residues (preventing crop burning pollution)</t>
  </si>
  <si>
    <t>Clean Air Construction — stops smoke pollution from crop burning + carbon negative; pitch to international Impact Investors</t>
  </si>
  <si>
    <t>Also listed as GreenJams; solves crop residue burning pollution in India while producing carbon-negative blocks</t>
  </si>
  <si>
    <t>Strawcture Eco</t>
  </si>
  <si>
    <t>Agricultural Fiber Panels</t>
  </si>
  <si>
    <t>Bio-composite panels from straw</t>
  </si>
  <si>
    <t>Certified Straw Safety — break 'fire safety' stigma by showcasing certified fire ratings to commercial specifiers</t>
  </si>
  <si>
    <t>Fire resistance and acoustic damping properties; overcoming stigma of straw as 'unsafe'</t>
  </si>
  <si>
    <t>Willow Technologies (Coconut Husk Boards)</t>
  </si>
  <si>
    <t>Coconut Coir Boards</t>
  </si>
  <si>
    <t>Unknown</t>
  </si>
  <si>
    <t>Coconut coir building boards (naturally rot/salt resistant)</t>
  </si>
  <si>
    <t>Coastal Resilience — target coastal projects requiring salt-resistant natural materials</t>
  </si>
  <si>
    <t>Coconut fiber is naturally resistant to rot and salt; niche coastal application</t>
  </si>
  <si>
    <t>Made of Air</t>
  </si>
  <si>
    <t>Biochar Facade Panels</t>
  </si>
  <si>
    <t>Germany</t>
  </si>
  <si>
    <t>Carbon-negative bioplastic facade panels from biochar</t>
  </si>
  <si>
    <t>The Carbon-Negative Facade — visualize facade panels as 'carbon batteries'; active carbon storage in cladding</t>
  </si>
  <si>
    <t>Produces carbon-negative bioplastics for facades; strong visual/marketing narrative around carbon storage</t>
  </si>
  <si>
    <t>Pretty Plastic</t>
  </si>
  <si>
    <t>Recycled Plastic Tiles</t>
  </si>
  <si>
    <t>Recycled plastic tiles</t>
  </si>
  <si>
    <t>Plastic Terrazzo</t>
  </si>
  <si>
    <t>Listed in Master Directory Category F; recycled plastic decorative tiles</t>
  </si>
  <si>
    <t>Looptworks</t>
  </si>
  <si>
    <t>Upcycled Textiles</t>
  </si>
  <si>
    <t>Upcycled textile materials for interiors</t>
  </si>
  <si>
    <t>Build With Your Own Waste</t>
  </si>
  <si>
    <t>Listed in Master Directory Category F; circular textile solutions</t>
  </si>
  <si>
    <t>Evrnu</t>
  </si>
  <si>
    <t>Textile Recycling</t>
  </si>
  <si>
    <t>Regenerated textile fiber from recycled clothing</t>
  </si>
  <si>
    <t>Listed in Master Directory Category F; textile recycling technology</t>
  </si>
  <si>
    <t>FABSCRAP</t>
  </si>
  <si>
    <t>Textile Recycling Service</t>
  </si>
  <si>
    <t>Textile recycling collection and redistribution service</t>
  </si>
  <si>
    <t>Listed in Master Directory Category F; maximizing fabric for future of fashion/construction</t>
  </si>
  <si>
    <t>Aquafil</t>
  </si>
  <si>
    <t>Recycled Nylon</t>
  </si>
  <si>
    <t>Italy / Global</t>
  </si>
  <si>
    <t>ECONYL regenerated nylon from ocean waste</t>
  </si>
  <si>
    <t>Circular Luxury</t>
  </si>
  <si>
    <t>Listed in Master Directory Category F; ECONYL brand recycled nylon</t>
  </si>
  <si>
    <t>Interface</t>
  </si>
  <si>
    <t>Recycled Carpet Tile</t>
  </si>
  <si>
    <t>USA / Global</t>
  </si>
  <si>
    <t>Net Effect carpet tiles (recycled content, carbon neutral)</t>
  </si>
  <si>
    <t>Listed in Master Directory Category F; known for carbon neutral flooring commitment</t>
  </si>
  <si>
    <t>Smile Plastics</t>
  </si>
  <si>
    <t>Decorative recycled plastic panel sheets</t>
  </si>
  <si>
    <t>Listed in Master Directory Category F; high-design recycled plastic panels</t>
  </si>
  <si>
    <t>Durat</t>
  </si>
  <si>
    <t>Recycled Solid Surface</t>
  </si>
  <si>
    <t>Recycled plastic solid surface material</t>
  </si>
  <si>
    <t>Listed in Master Directory Category F; recycled solid surface for countertops/surfaces</t>
  </si>
  <si>
    <t>Resilica</t>
  </si>
  <si>
    <t>Recycled Glass Countertops</t>
  </si>
  <si>
    <t>Recycled glass countertop surfaces</t>
  </si>
  <si>
    <t>Listed in Master Directory Category F; recycled glass surface materials</t>
  </si>
  <si>
    <t>IceStone</t>
  </si>
  <si>
    <t>Recycled Glass Surfaces</t>
  </si>
  <si>
    <t>Recycled glass and cement countertops/surfaces</t>
  </si>
  <si>
    <t>Listed in Master Directory Category F; glass and cement recycled surfaces</t>
  </si>
  <si>
    <t>Vetrazzo</t>
  </si>
  <si>
    <t>Recycled glass surfaces and countertops</t>
  </si>
  <si>
    <t>Listed in Master Directory Category F; premium recycled glass countertop surfaces</t>
  </si>
  <si>
    <t>Ecovative</t>
  </si>
  <si>
    <t>Mycelium / Bio-Fabrication</t>
  </si>
  <si>
    <t>Mycelium Technology Platform</t>
  </si>
  <si>
    <t>New York, USA</t>
  </si>
  <si>
    <t>AirMycelium technology platform (mycelium composites, packaging, insulation)</t>
  </si>
  <si>
    <t>Grow Your Own Materials — connect brands developing custom bio-composites</t>
  </si>
  <si>
    <t>Pioneer of mycelium technology; technology licensor as much as manufacturer</t>
  </si>
  <si>
    <t>Mogu</t>
  </si>
  <si>
    <t>Mycelium Acoustic / Flooring</t>
  </si>
  <si>
    <t>Italy</t>
  </si>
  <si>
    <t>Mycelium acoustic panels and flooring (luxury aesthetic)</t>
  </si>
  <si>
    <t>Velvet from Fungi — target interior designers; place in same search results as high-end acoustic felts</t>
  </si>
  <si>
    <t>Products look like luxury velvet or stone, not mushrooms; strong high-design positioning</t>
  </si>
  <si>
    <t>MycoWorks</t>
  </si>
  <si>
    <t>Mycelium Leather / Interior Finishes</t>
  </si>
  <si>
    <t>Reishi mycelium leather and interior finishes</t>
  </si>
  <si>
    <t>Bespoke Bio-Luxury — position for high-end hospitality fit-outs (hotels, lobbies)</t>
  </si>
  <si>
    <t>Known for Reishi (leather alternative); expanding into interior finishes; luxury market focus</t>
  </si>
  <si>
    <t>Biohm</t>
  </si>
  <si>
    <t>Mycelium Insulation / Construction Boards</t>
  </si>
  <si>
    <t>Mycelium insulation and Orb (organic refuse biocompound) construction boards</t>
  </si>
  <si>
    <t>Waste-Fed Insulation — highlight circular economy aspect (uses orange peels, grass as substrate)</t>
  </si>
  <si>
    <t>Uses waste streams (orange peels, grass) as substrate; circular economy + mycelium narrative</t>
  </si>
  <si>
    <t>Grown.bio</t>
  </si>
  <si>
    <t>Mycelium Packaging / Interiors</t>
  </si>
  <si>
    <t>Mycelium packaging and interior products (compostable)</t>
  </si>
  <si>
    <t>Temporary without Trash — target pop-up retail designers needing temporary fit-outs that can be composted</t>
  </si>
  <si>
    <t>Compostable interiors; good for temporary or event-driven applications</t>
  </si>
  <si>
    <t>MycoHab</t>
  </si>
  <si>
    <t>Mycelium Housing Blocks</t>
  </si>
  <si>
    <t>Namibia / Global</t>
  </si>
  <si>
    <t>Mycelium housing blocks from encroacher bush waste</t>
  </si>
  <si>
    <t>Housing as Ecological Restoration — connect with NGOs and government procurement</t>
  </si>
  <si>
    <t>Social impact angle; solves bush encroachment problem in Namibia while creating housing materials</t>
  </si>
  <si>
    <t>Bolt Threads</t>
  </si>
  <si>
    <t>Mycelium Leather</t>
  </si>
  <si>
    <t>Mylo mycelium leather material</t>
  </si>
  <si>
    <t>Fashion-Forward Furniture — target furniture manufacturers looking for sustainable upholstery</t>
  </si>
  <si>
    <t>Fashion meets furniture; mycelium leather for upholstery applications</t>
  </si>
  <si>
    <t>Mykilio</t>
  </si>
  <si>
    <t>Mycelium Structures</t>
  </si>
  <si>
    <t>Mycelium structural composites</t>
  </si>
  <si>
    <t>Grow Your Own Materials</t>
  </si>
  <si>
    <t>Listed in Master Directory Category E; mycelium structural applications</t>
  </si>
  <si>
    <t>Eukarya</t>
  </si>
  <si>
    <t>Mycelium Composites</t>
  </si>
  <si>
    <t>Mycelium composites</t>
  </si>
  <si>
    <t>Listed in Master Directory Category E; mycelium composite materials</t>
  </si>
  <si>
    <t>Blast Studio</t>
  </si>
  <si>
    <t>3D Printed Mycelium</t>
  </si>
  <si>
    <t>3D printed mycelium structures</t>
  </si>
  <si>
    <t>Bespoke Bio-Luxury</t>
  </si>
  <si>
    <t>Listed in Master Directory Category E; 3D printing mycelium for architectural applications</t>
  </si>
  <si>
    <t>TimberHP</t>
  </si>
  <si>
    <t>Insulation</t>
  </si>
  <si>
    <t>Wood Fiber Insulation</t>
  </si>
  <si>
    <t>Maine, USA</t>
  </si>
  <si>
    <t>Wood fiber insulation from waste wood chips (first domestic North American producer)</t>
  </si>
  <si>
    <t>Domestic Wood Fiber — 'Made in USA' + carbon negative; cut shipping carbon vs. European imports</t>
  </si>
  <si>
    <t>First domestic North American wood fiber insulation producer; previously all wood fiber was imported from Europe</t>
  </si>
  <si>
    <t>Havelock Wool</t>
  </si>
  <si>
    <t>Sheep Wool Insulation</t>
  </si>
  <si>
    <t>Nevada, USA</t>
  </si>
  <si>
    <t>Sheep's wool insulation (maintains R-value when wet unlike fiberglass)</t>
  </si>
  <si>
    <t>Nature's Smart Fiber — target humid climate architects; emphasize 'active moisture regulation' property</t>
  </si>
  <si>
    <t>Wool absorbs moisture without losing R-value unlike fiberglass; moisture management advantage</t>
  </si>
  <si>
    <t>Thermafleece</t>
  </si>
  <si>
    <t>British sheep's wool insulation</t>
  </si>
  <si>
    <t>Heritage-Safe Insulation — connect with heritage architects restoring old masonry buildings</t>
  </si>
  <si>
    <t>Specialty in breathable insulation for historic buildings; modern spray foam causes rot in older masonry</t>
  </si>
  <si>
    <t>Steico</t>
  </si>
  <si>
    <t>Wood Fiber Insulation / Structural I-Joists</t>
  </si>
  <si>
    <t>Wood fiber insulation boards and structural I-joists</t>
  </si>
  <si>
    <t>The Complete Shell — sell the system guarantee (joists + insulation) to risk-averse developers</t>
  </si>
  <si>
    <t>Global giant of wood fiber insulation and structural I-joists; can sell complete shell system</t>
  </si>
  <si>
    <t>Gutex</t>
  </si>
  <si>
    <t>Wood Fiber Boards</t>
  </si>
  <si>
    <t>High-performance wood fiber insulation boards (exterior continuous insulation)</t>
  </si>
  <si>
    <t>Foam-Free Facades — highlight weather-resistive properties; replace foam board on outside of building</t>
  </si>
  <si>
    <t>Exterior continuous insulation specialist; replaces foam board on building exterior</t>
  </si>
  <si>
    <t>Wool Insulation NZ</t>
  </si>
  <si>
    <t>New Zealand</t>
  </si>
  <si>
    <t>Sheep wool insulation (low binder content)</t>
  </si>
  <si>
    <t>Pure Wool — target 'Red List Free' projects with low-binder, chemically minimal wool insulation</t>
  </si>
  <si>
    <t>Focus on low binder content; great for Red List Free project requirements</t>
  </si>
  <si>
    <t>Black Mountain Insulation</t>
  </si>
  <si>
    <t>Sheep wool insulation batts</t>
  </si>
  <si>
    <t>Performance by Nature</t>
  </si>
  <si>
    <t>Natural sheep wool insulation; UK-based manufacturer</t>
  </si>
  <si>
    <t>Oregon Shepherd</t>
  </si>
  <si>
    <t>Loose-Fill Wool Insulation</t>
  </si>
  <si>
    <t>Oregon, USA</t>
  </si>
  <si>
    <t>Loose-fill wool insulation (blow-in for attics)</t>
  </si>
  <si>
    <t>The Natural Blow-In — target attic insulation market as natural alternative to fiberglass loose fill</t>
  </si>
  <si>
    <t>Loose-fill application for attics; domestic US wool product</t>
  </si>
  <si>
    <t>Gramitherm</t>
  </si>
  <si>
    <t>Grass Insulation</t>
  </si>
  <si>
    <t>Grass-based insulation (rapidly renewable)</t>
  </si>
  <si>
    <t>Fast-Growth Insulation — grass grows faster than wood; pitch on rapid renewability and circularity</t>
  </si>
  <si>
    <t>Unique grass-based insulation; rapid renewability is key differentiator</t>
  </si>
  <si>
    <t>AeroShield</t>
  </si>
  <si>
    <t>Glazing / Windows</t>
  </si>
  <si>
    <t>Aerogel Glazing</t>
  </si>
  <si>
    <t>Transparent silica aerogel for windows (double-pane performing like triple-pane)</t>
  </si>
  <si>
    <t>Invisible Insulation — target facade consultants needing to hit extreme energy codes (NYC Local Law 97)</t>
  </si>
  <si>
    <t>MIT spinoff; super-insulation without changing window appearance; crucial for code compliance in dense urban markets</t>
  </si>
  <si>
    <t>View, Inc.</t>
  </si>
  <si>
    <t>Smart / Electrochromic Glass</t>
  </si>
  <si>
    <t>Smart glass that automatically tints to control heat and glare</t>
  </si>
  <si>
    <t>Intelligent Glazing — visualize HVAC CapEx and OpEx savings for Energy Manager and Asset Manager personas</t>
  </si>
  <si>
    <t>Operational savings through HVAC load reduction; strong ROI story for asset managers</t>
  </si>
  <si>
    <t>SageGlass (Saint-Gobain)</t>
  </si>
  <si>
    <t>Electrochromic Glass</t>
  </si>
  <si>
    <t>USA / Global (Saint-Gobain subsidiary)</t>
  </si>
  <si>
    <t>SageGlass electrochromic glass (tints electronically on demand)</t>
  </si>
  <si>
    <t>Wellness Glass — promote occupant comfort / natural light without blinds to HR Directors</t>
  </si>
  <si>
    <t>Saint-Gobain subsidiary; strong technical credibility and EPD; wellness angle for occupant productivity</t>
  </si>
  <si>
    <t>Halio</t>
  </si>
  <si>
    <t>Smart / Dynamic Glass</t>
  </si>
  <si>
    <t>Smart-tinting glass (faster tinting than competitors)</t>
  </si>
  <si>
    <t>Responsive Facades — differentiate on speed of tinting transition</t>
  </si>
  <si>
    <t>Fastest tinting smart glass; speed of transition is key differentiator</t>
  </si>
  <si>
    <t>RavenWindow</t>
  </si>
  <si>
    <t>Thermochromic Window Film</t>
  </si>
  <si>
    <t>Thermochromic window filter (transitions based on temperature, no wiring)</t>
  </si>
  <si>
    <t>Passive Smart Glass — no wiring required; pitch as passive solar control without electrical infrastructure costs</t>
  </si>
  <si>
    <t>Passive operation; no wiring required unlike electrochromic competitors; simpler retrofit option</t>
  </si>
  <si>
    <t>Char Technologies</t>
  </si>
  <si>
    <t>Biochar</t>
  </si>
  <si>
    <t>Biochar products for carbon sequestration and building materials</t>
  </si>
  <si>
    <t>Listed in Master Directory Category G; biochar production for carbon applications</t>
  </si>
  <si>
    <t>Pacific Biochar</t>
  </si>
  <si>
    <t>Biochar products</t>
  </si>
  <si>
    <t>Listed in Master Directory Category G; biochar production</t>
  </si>
  <si>
    <t>Green Oasis</t>
  </si>
  <si>
    <t>Biophilic / Living Systems</t>
  </si>
  <si>
    <t>Living Moss Walls</t>
  </si>
  <si>
    <t>Preserved moss walls and biophilic design products (maintenance-free)</t>
  </si>
  <si>
    <t>Zero-Maintenance Nature — target facility managers wanting the green look without watering/plumbing maintenance cost</t>
  </si>
  <si>
    <t>Preserved moss (not living) eliminates maintenance; strong Facility Manager angle</t>
  </si>
  <si>
    <t>Habitat Horticulture</t>
  </si>
  <si>
    <t>Living Walls / Native Plants</t>
  </si>
  <si>
    <t>High-end living walls with native plantscapes</t>
  </si>
  <si>
    <t>Native Living Walls — connect with landscape architects on projects with biodiversity or water-retention mandates</t>
  </si>
  <si>
    <t>Focus on native species; biodiversity and water mandates angle</t>
  </si>
  <si>
    <t>Sagegreenlife</t>
  </si>
  <si>
    <t>Modular Living Walls</t>
  </si>
  <si>
    <t>Chicago, USA</t>
  </si>
  <si>
    <t>Modular living wall systems</t>
  </si>
  <si>
    <t>Scalable Biophilia — reach corporate real estate managers rolling out standardized green office concepts</t>
  </si>
  <si>
    <t>Modularity and scalability for corporate standardized green office rollouts</t>
  </si>
  <si>
    <t>PlantUp</t>
  </si>
  <si>
    <t>Modular Green Wall</t>
  </si>
  <si>
    <t>Modular living green wall system (DIY friendly)</t>
  </si>
  <si>
    <t>Accessible Green Walls — DIY-friendly modular approach lowers barrier to entry</t>
  </si>
  <si>
    <t>DIY friendly modular green wall system</t>
  </si>
  <si>
    <t>Natura</t>
  </si>
  <si>
    <t>Interior Plant Design / Living Walls</t>
  </si>
  <si>
    <t>Interior plant design and living wall installation with maintenance service</t>
  </si>
  <si>
    <t>Full-Service Greenery — offers design + ongoing maintenance; pitch as turnkey biophilic solution</t>
  </si>
  <si>
    <t>Service integration: design + maintenance; full-service biophilic solutions</t>
  </si>
  <si>
    <t>Botanicus</t>
  </si>
  <si>
    <t>Green Walls / Interior Landscaping</t>
  </si>
  <si>
    <t>Green walls and interior landscaping</t>
  </si>
  <si>
    <t>Proven Biophilia — long-standing player; pitch on experience and track record</t>
  </si>
  <si>
    <t>Experienced long-standing player in green walls and interior landscaping</t>
  </si>
  <si>
    <t>Sargassum Eco Lumber</t>
  </si>
  <si>
    <t>Marine / Algae Materials</t>
  </si>
  <si>
    <t>Seaweed Building Blocks</t>
  </si>
  <si>
    <t>Florida, USA / Mexico</t>
  </si>
  <si>
    <t>Building blocks from invasive sargassum seaweed</t>
  </si>
  <si>
    <t>Problem to Solution — geo-target resort developers in Caribbean/Florida</t>
  </si>
  <si>
    <t>Turns a coastal disaster (sargassum seaweed blooms) into building material; strong regional angle</t>
  </si>
  <si>
    <t>Carbonwave</t>
  </si>
  <si>
    <t>Sargassum Upcycling</t>
  </si>
  <si>
    <t>Puerto Rico / USA</t>
  </si>
  <si>
    <t>Sargassum-derived bio-stimulants and foam alternatives</t>
  </si>
  <si>
    <t>Seaweed Science — connect with R&amp;D departments of larger manufacturers</t>
  </si>
  <si>
    <t>Exploring advanced material applications from sargassum; potential foam alternative</t>
  </si>
  <si>
    <t>SeaCORK</t>
  </si>
  <si>
    <t>Cork Decking</t>
  </si>
  <si>
    <t>France / Global</t>
  </si>
  <si>
    <t>Cork decking for marine environments</t>
  </si>
  <si>
    <t>Cool Cork Decking — pitch to marina developers as natural, cool-to-touch alternative to hot plastic decking</t>
  </si>
  <si>
    <t>Natural non-slip marine decking; competes with teak and synthetic alternatives</t>
  </si>
  <si>
    <t>Kelp Island</t>
  </si>
  <si>
    <t>Kelp Composite Bricks</t>
  </si>
  <si>
    <t>Floating interlocking bricks made from kelp composite</t>
  </si>
  <si>
    <t>Ocean Bricks — marine construction using ocean-sourced material</t>
  </si>
  <si>
    <t>Early-stage; developing floating interlocking kelp bricks for marine construction</t>
  </si>
  <si>
    <t>Oceanium</t>
  </si>
  <si>
    <t>Seaweed Materials</t>
  </si>
  <si>
    <t>Seaweed-based packaging and film materials</t>
  </si>
  <si>
    <t>Seaweed Bioplastics</t>
  </si>
  <si>
    <t>Developing seaweed-based material applications; packaging and films focus</t>
  </si>
  <si>
    <t>Luxxbox</t>
  </si>
  <si>
    <t>Acoustic / Lighting</t>
  </si>
  <si>
    <t>Acoustic Lighting (Recycled PET)</t>
  </si>
  <si>
    <t>Acoustic lighting fixtures from recycled PET</t>
  </si>
  <si>
    <t>Quiet Light — 2-for-1 function (light + sound control); pitch to office designers</t>
  </si>
  <si>
    <t>Combines acoustic performance with lighting in one product; made from recycled PET</t>
  </si>
  <si>
    <t>Lumenear</t>
  </si>
  <si>
    <t>Acoustic Lighting (PET Felt)</t>
  </si>
  <si>
    <t>Customizable acoustic lighting from PET felt</t>
  </si>
  <si>
    <t>Tailored Silence — customizable acoustic lighting solutions</t>
  </si>
  <si>
    <t>PET felt acoustic lighting; customization advantage</t>
  </si>
  <si>
    <t>Impact Acoustic</t>
  </si>
  <si>
    <t>Acoustic Solutions (Recycled Materials)</t>
  </si>
  <si>
    <t>Switzerland</t>
  </si>
  <si>
    <t>Acoustic solutions and lighting from recycled materials</t>
  </si>
  <si>
    <t>Swiss Acoustic Design — Swiss precision combined with recycled materials sustainability</t>
  </si>
  <si>
    <t>Swiss design precision; recycled material composition; both acoustic panels and lighting</t>
  </si>
  <si>
    <t>Focal Point Lights</t>
  </si>
  <si>
    <t>Architectural Lighting with Acoustics</t>
  </si>
  <si>
    <t>Architectural lighting with integrated acoustic options</t>
  </si>
  <si>
    <t>Architectural Acoustics — integrated architectural lighting and acoustic system solutions</t>
  </si>
  <si>
    <t>Established architectural lighting manufacturer with acoustic integration capability</t>
  </si>
  <si>
    <t>XAL</t>
  </si>
  <si>
    <t>Acoustic Lighting</t>
  </si>
  <si>
    <t>High-end architectural lighting with acoustic benefits</t>
  </si>
  <si>
    <t>Luxury Quiet — high-end architectural integration of light and acoustic control</t>
  </si>
  <si>
    <t>Austrian high-end architectural lighting manufacturer; acoustic luminaires product line</t>
  </si>
  <si>
    <t>Kawneer North America</t>
  </si>
  <si>
    <t>Glazing / Curtain Wall</t>
  </si>
  <si>
    <t>Aluminum Framing Systems</t>
  </si>
  <si>
    <t>USA (Arconic subsidiary)</t>
  </si>
  <si>
    <t>1600 Wall System (unitized thermally broken aluminum framing)</t>
  </si>
  <si>
    <t>Drop-in Replacement — established incumbent with EPD; surface carbon data to specifiers comparing curtain wall systems</t>
  </si>
  <si>
    <t>EPD #4789733794.109.1; GWP 166 kgCO2e/kg; major curtain wall framing incumbent</t>
  </si>
  <si>
    <t>EWS Manufacturers PDF</t>
  </si>
  <si>
    <t>Vitro / Guardian / AGC</t>
  </si>
  <si>
    <t>Insulated Glass Units (IGU)</t>
  </si>
  <si>
    <t>Solarban low-e IGU (double and fritted glazing options)</t>
  </si>
  <si>
    <t>Wellness Glass — EPD-documented glass; platform surfaces GWP data and compares with smart glass alternatives</t>
  </si>
  <si>
    <t>EPD #SCS-EPD-08787; GWP 55.7 kgCO2e/m2 (vision), 25.4 (spandrel), 80 (fritted); three major glass manufacturers</t>
  </si>
  <si>
    <t>ROCKWOOL</t>
  </si>
  <si>
    <t>Mineral Wool / Stone Wool</t>
  </si>
  <si>
    <t>Denmark / Global</t>
  </si>
  <si>
    <t>ROCKWOOL Stone Wool Thermal Insulation / Spandrel/Shadowbox mineral wool</t>
  </si>
  <si>
    <t>Drop-in Replacement — established incumbent with EPD; compare against bio-based alternatives like TimberHP or Havelock Wool</t>
  </si>
  <si>
    <t>EPD #EPD-RWI-20190075-CCD1-EN; GWP 6 kgCO2e/m2 (2"); appears in multiple EWS assemblies</t>
  </si>
  <si>
    <t>US Gypsum (USG)</t>
  </si>
  <si>
    <t>Gypsum / Interior</t>
  </si>
  <si>
    <t>Gypsum Wallboard</t>
  </si>
  <si>
    <t>USG Sheetrock Brand EcoSmart Panels (5/8" gypsum wallboard)</t>
  </si>
  <si>
    <t>Drop-in Replacement — EPD-documented gypsum wallboard; can be compared against alternative interior sheathing</t>
  </si>
  <si>
    <t>EPD #4787352797.105.1; GWP 232 kgCO2e/m2; standard interior GWB across multiple EWS assemblies</t>
  </si>
  <si>
    <t>SCAFCO Steel Stud Company</t>
  </si>
  <si>
    <t>Steel / Structural</t>
  </si>
  <si>
    <t>Cold-Formed Metal Framing (CFMF)</t>
  </si>
  <si>
    <t>Steel framing studs and tracks (CFMF)</t>
  </si>
  <si>
    <t>Specification Security — EPD-documented steel framing; position carbon data prominently for specifiers</t>
  </si>
  <si>
    <t>EPD #SCSEPD05752; GWP 3290 kgCO2e/kg; 6" cold-formed steel studs used in multiple EWS assemblies</t>
  </si>
  <si>
    <t>AISC fabricator (generic)</t>
  </si>
  <si>
    <t>HSS Steel (Mega Panel)</t>
  </si>
  <si>
    <t>HSS (Hollow Structural Section) Mega Panel framing</t>
  </si>
  <si>
    <t>EPD #4789556099.103.1; GWP 1,990 kgCO2e/kg; generic AISC fabricator category for HSS structural steel</t>
  </si>
  <si>
    <t>Georgia-Pacific Building Products</t>
  </si>
  <si>
    <t>Gypsum / Sheathing</t>
  </si>
  <si>
    <t>Exterior Gypsum Sheathing</t>
  </si>
  <si>
    <t>DensGlass Fireguard Sheathing Gypsum Panel</t>
  </si>
  <si>
    <t>Specification Security — EPD-documented exterior sheathing; standard spec in commercial envelope</t>
  </si>
  <si>
    <t>EPD #EPD10268; GWP 454 kgCO2e/m2; glass-mat exterior sheathing used in multiple EWS assemblies</t>
  </si>
  <si>
    <t>ClarkDietrich</t>
  </si>
  <si>
    <t>Cold-Formed Steel Products</t>
  </si>
  <si>
    <t>Cold-formed steel subframing channels / Z-girts</t>
  </si>
  <si>
    <t>Specification Security — EPD documented; standard subframing component</t>
  </si>
  <si>
    <t>EPD #EPD10056; GWP 2390 kgCO2e/kg; 7/8" subframing channels used in granite and limestone panel assemblies</t>
  </si>
  <si>
    <t>Polycor</t>
  </si>
  <si>
    <t>Stone / Cladding</t>
  </si>
  <si>
    <t>Natural Stone (Granite)</t>
  </si>
  <si>
    <t>Canada / USA</t>
  </si>
  <si>
    <t>Granite veneer panels for exterior cladding</t>
  </si>
  <si>
    <t>Drop-in Replacement — EPD-documented natural stone; compare against lower-carbon cladding alternatives</t>
  </si>
  <si>
    <t>EPD #POL-20230131-006; GWP 39.1 kgCO2e/m2; 2" granite veneer panels for exterior facades</t>
  </si>
  <si>
    <t>Indiana Limestone Company</t>
  </si>
  <si>
    <t>Natural Stone (Limestone)</t>
  </si>
  <si>
    <t>Indiana, USA</t>
  </si>
  <si>
    <t>Limestone panel cladding</t>
  </si>
  <si>
    <t>Drop-in Replacement — EPD-documented natural stone; compare carbon profile against alternatives</t>
  </si>
  <si>
    <t>Appears in EWS-2B Limestone assembly; natural limestone cladding with EPD documentation</t>
  </si>
  <si>
    <t>Prodema / Parklex</t>
  </si>
  <si>
    <t>Cladding / Facades</t>
  </si>
  <si>
    <t>Wood-Faced Composite Panels</t>
  </si>
  <si>
    <t>Spain / Global</t>
  </si>
  <si>
    <t>Natural wood-veneer composite exterior panels</t>
  </si>
  <si>
    <t>Specification Security — EPD-documented natural wood facade panels</t>
  </si>
  <si>
    <t>Appears in EWS wood panel assembly; natural wood-faced high-pressure panels for exterior</t>
  </si>
  <si>
    <t>Nichiha</t>
  </si>
  <si>
    <t>Fiber Cement Panels</t>
  </si>
  <si>
    <t>Japan / USA</t>
  </si>
  <si>
    <t>Architectural fiber cement wall panels</t>
  </si>
  <si>
    <t>Drop-in Replacement — established fiber cement panel manufacturer; platform surfaces carbon data</t>
  </si>
  <si>
    <t>Fiber cement architectural wall panels; appears in EWS facade assemblies</t>
  </si>
  <si>
    <t>Dri-Design / CEI / Morin</t>
  </si>
  <si>
    <t>Aluminum Panel Systems</t>
  </si>
  <si>
    <t>Aluminum plate panels (3mm + stiffeners) for exterior cladding</t>
  </si>
  <si>
    <t>Drop-in Replacement — EPD-documented aluminum panel system</t>
  </si>
  <si>
    <t>EPD #SCS-EPD-10200; GWP 10.62 kgCO2e/m2; aluminum plate exterior cladding panels</t>
  </si>
  <si>
    <t>Kawneer / YKK AP / EFCO</t>
  </si>
  <si>
    <t>Aluminum Framing (Stick/Unitized)</t>
  </si>
  <si>
    <t>USA / Japan</t>
  </si>
  <si>
    <t>CFS/HSS/unitized curtain wall framing members</t>
  </si>
  <si>
    <t>Specification Security — group of competing curtain wall framing manufacturers; surface carbon comparisons between them</t>
  </si>
  <si>
    <t>EPD #AA EPD 104.1; GWP 6.08 kgCO2e/kg; grouped as Option 3 framing alternatives across EWS assemblies</t>
  </si>
  <si>
    <t>Unitized fabricator (generic)</t>
  </si>
  <si>
    <t>Aluminum Backpan</t>
  </si>
  <si>
    <t>Factory aluminum backpan for unitized assemblies</t>
  </si>
  <si>
    <t>EPD #EPD 104.1 (Aluminum Association NA Extrusions); GWP 16 kgCO2e/kg; generic fabricator category</t>
  </si>
  <si>
    <t>Firm Name</t>
  </si>
  <si>
    <t>Firm Type</t>
  </si>
  <si>
    <t>Relevant Roles</t>
  </si>
  <si>
    <t>Gensler</t>
  </si>
  <si>
    <t>architecture</t>
  </si>
  <si>
    <t>Specification Writer, Architect of Record, Project Architect, LEED AP / Sustainability Consultant, Interior Designer</t>
  </si>
  <si>
    <t>Explicitly named as example of a large architectural practice employing Specification Writers with immense power over material specs. One of the world's largest architecture firms with a dedicated specs department.</t>
  </si>
  <si>
    <t>HOK</t>
  </si>
  <si>
    <t>Explicitly named alongside Gensler as an example large architectural practice with embedded Spec Writers who control project manuals exceeding 1000 pages.</t>
  </si>
  <si>
    <t>AECOM</t>
  </si>
  <si>
    <t>architecture / engineering / construction management</t>
  </si>
  <si>
    <t>Specification Writer, Architect of Record, Project Architect, LEED AP / Sustainability Consultant, Quantity Surveyor, Value Engineer</t>
  </si>
  <si>
    <t>Explicitly named as example of large architectural/engineering practice employing Specification Writers. Also operates as a major GC/CM firm covering multiple procurement layers.</t>
  </si>
  <si>
    <t>University of Tampa</t>
  </si>
  <si>
    <t>higher education</t>
  </si>
  <si>
    <t>University Campus Planner</t>
  </si>
  <si>
    <t>Referenced in citations (ZipRecruiter job listing) as employer of Campus Planner role. Long-horizon 100-year campus procurement decision-maker.</t>
  </si>
  <si>
    <t>Florida State University</t>
  </si>
  <si>
    <t>Referenced in citations (ZipRecruiter job listing) as employer of Campus Planner role. Campus planners select durable slate roofs and stone facades on 100-year lifecycle basis.</t>
  </si>
  <si>
    <t>Northeastern University</t>
  </si>
  <si>
    <t>Referenced in citations (Career.com job listing) as employer of Campus Planner role in Boston MA.</t>
  </si>
  <si>
    <t>Estee Lauder Companies (MAC)</t>
  </si>
  <si>
    <t>retail / consumer goods</t>
  </si>
  <si>
    <t>Visual Merchandising Director, Chief Marketing Officer / Brand Director, Store Planning Director</t>
  </si>
  <si>
    <t>Referenced in citations as employer of Global Visual Merchandising &amp; Retail Experience Director at MAC brand. CMO/Brand Directors at consumer brands mandate recycled materials to align physical stores with sustainability brand narrative.</t>
  </si>
  <si>
    <t>MCM (MCM Worldwide)</t>
  </si>
  <si>
    <t>retail / luxury goods</t>
  </si>
  <si>
    <t>Referenced in citations via MCM 2022 Sustainability Report. Retail brands with sustainability commitments are key targets for sustainable fixture and display materials.</t>
  </si>
  <si>
    <t>Primark Stores Limited</t>
  </si>
  <si>
    <t>retail</t>
  </si>
  <si>
    <t>Franchisee / Store Planning Director, Visual Merchandising Director</t>
  </si>
  <si>
    <t>Referenced in citations (Franchise Design Manager role listing). Retail chains with franchise models are targets for sustainable modular fixture systems.</t>
  </si>
  <si>
    <t>JPMorgan Chase</t>
  </si>
  <si>
    <t>financial services / real estate finance</t>
  </si>
  <si>
    <t>Affordable Housing Developer, Asset Manager, Chief Procurement Officer</t>
  </si>
  <si>
    <t>Referenced in citations regarding affordable housing financing. Financial institutions funding LIHTC affordable housing projects are indirect but powerful drivers of sustainable material selection through developer client requirements.</t>
  </si>
  <si>
    <t>Intrepid Group</t>
  </si>
  <si>
    <t>corporate / consulting</t>
  </si>
  <si>
    <t>Chief People Officer (CHRO) / HR Director</t>
  </si>
  <si>
    <t>Referenced via citation (TechFinitive article on Alex Png as CPO of Intrepid Group). Companies with HR-driven workplace design strategies are targets for wellness-oriented sustainable materials.</t>
  </si>
  <si>
    <t>Softchoice</t>
  </si>
  <si>
    <t>technology / corporate</t>
  </si>
  <si>
    <t>Director of Workplace Experience</t>
  </si>
  <si>
    <t>Referenced in citations (Neat case study on Softchoice's hybrid showroom). Tech companies with dedicated Workplace Experience roles are prime buyers of sustainable biophilic and acoustic materials.</t>
  </si>
  <si>
    <t>Tetra Pak</t>
  </si>
  <si>
    <t>manufacturing / packaging</t>
  </si>
  <si>
    <t>Director of Workplace Experience, Chief Sustainability Officer</t>
  </si>
  <si>
    <t>Referenced in citations (VoxelMatters article on Tetra Pak and Aectual 3D printing recycled furniture). Companies with active sustainability programs are CSO/CPO targets for sustainable interior procurement.</t>
  </si>
  <si>
    <t>Areim</t>
  </si>
  <si>
    <t>real estate asset management</t>
  </si>
  <si>
    <t>Asset Manager, Chief Sustainability Officer</t>
  </si>
  <si>
    <t>Referenced in citations (Areim sustainability page). Real estate asset management firms with ESG mandates are key Asset Manager targets for sustainable retrofit materials.</t>
  </si>
  <si>
    <t>Role Title</t>
  </si>
  <si>
    <t>Procurement Layer</t>
  </si>
  <si>
    <t>Decision Driver</t>
  </si>
  <si>
    <t>Data Needs</t>
  </si>
  <si>
    <t>Engagement Hook</t>
  </si>
  <si>
    <t>Purchase Volume</t>
  </si>
  <si>
    <t>Hidden Gem</t>
  </si>
  <si>
    <t>Architect of Record (AOR)</t>
  </si>
  <si>
    <t>Design Authorities</t>
  </si>
  <si>
    <t>Liability &amp; Code Compliance</t>
  </si>
  <si>
    <t>EPDs, HPDs, LCA, fire-rating data, VOC test results, code compliance documentation</t>
  </si>
  <si>
    <t>Lead with liability elimination and code compliance proof; provide Red List-free documentation; emphasize protection from Toxic Tort litigation</t>
  </si>
  <si>
    <t>no</t>
  </si>
  <si>
    <t>Project Architect (PA)</t>
  </si>
  <si>
    <t>EPDs, HPDs, fire-rating data, performance specs, code compliance documentation</t>
  </si>
  <si>
    <t>Same as AOR — position sustainable materials as risk-reduction tools not green choices; provide code-compliant spec language</t>
  </si>
  <si>
    <t>Specification Writer</t>
  </si>
  <si>
    <t>Defensibility &amp; Data</t>
  </si>
  <si>
    <t>ASTM/ISO test reports, LCA, EPDs, California CDPH VOC compliance, third-party certifications, chain-of-custody docs</t>
  </si>
  <si>
    <t>Supply complete third-party verified documentation; offer pre-written spec language and 'No Substitution' clause language; make documentation turnkey</t>
  </si>
  <si>
    <t>LEED AP / Sustainability Consultant</t>
  </si>
  <si>
    <t>The Point System</t>
  </si>
  <si>
    <t>EPDs, HPDs, chain-of-custody certifications, LEED Materials &amp; Resources credit documentation, third-party verified data</t>
  </si>
  <si>
    <t>Lead with LEED/BREEAM/WELL credit contribution math; provide pre-formatted documentation packages; reduce their documentation workload</t>
  </si>
  <si>
    <t>Interior Designer (Commercial/Contract)</t>
  </si>
  <si>
    <t>Occupant Health &amp; Productivity</t>
  </si>
  <si>
    <t>Indoor air quality data, antimicrobial certifications, acoustic performance ratings, recycled content documentation, WELL certification data</t>
  </si>
  <si>
    <t>Position as wellness and talent-retention plays; offer 'building standard' package specs; emphasize biophilic and acoustic performance</t>
  </si>
  <si>
    <t>Landscape Architect</t>
  </si>
  <si>
    <t>Site Water Management &amp; Heat Island Compliance</t>
  </si>
  <si>
    <t>Permeability ratings, stormwater retention data, albedo/reflectivity specs, recycled aggregate content, municipal code compliance docs</t>
  </si>
  <si>
    <t>Frame as cost-saving civil engineering solution eliminating underground retention tanks; cite local stormwater fee savings and Heat Island ordinance compliance</t>
  </si>
  <si>
    <t>Quantity Surveyor (QS) / Cost Consultant</t>
  </si>
  <si>
    <t>Financial Gatekeepers</t>
  </si>
  <si>
    <t>Whole Life Costing &amp; Carbon Accounting</t>
  </si>
  <si>
    <t>NPV/lifecycle cost models, carbon accounting data, durability/warranty data, carbon budget compliance reports</t>
  </si>
  <si>
    <t>Lead with ROI models and Whole Life Cost analysis; provide carbon budget data; position as the tool that wins Value Engineering battles</t>
  </si>
  <si>
    <t>Value Engineer (VE)</t>
  </si>
  <si>
    <t>System Deletion &amp; Labor Reduction</t>
  </si>
  <si>
    <t>Function-per-dollar data, trade elimination potential, labor cost comparisons, multifunctionality specs</t>
  </si>
  <si>
    <t>Never pitch 'green'; pitch 'simplification' and 'labor reduction'; show how one material replaces multiple systems/trades (e.g. SIPs)</t>
  </si>
  <si>
    <t>Insurance Risk Manager / Underwriter</t>
  </si>
  <si>
    <t>Loss Prevention &amp; Resilience</t>
  </si>
  <si>
    <t>Mold resistance ratings, fire resistance data, extreme weather performance data, actuarial risk reduction metrics</t>
  </si>
  <si>
    <t>Market materials as 'Risk Reduction Assets'; provide data showing premium-reduction potential; position CLT and mineral wool as safety-correlated sustainability</t>
  </si>
  <si>
    <t>Asset Manager (Real Estate)</t>
  </si>
  <si>
    <t>Liquidity &amp; Stranded Asset Prevention</t>
  </si>
  <si>
    <t>ESG compliance documentation, energy performance data, retrofit ROI, NYC Local Law 97 and similar regulatory compliance</t>
  </si>
  <si>
    <t>Frame materials as stranded-asset prevention tools; show how green retrofits maintain institutional buyer eligibility and protect exit strategy</t>
  </si>
  <si>
    <t>Real Estate Appraiser / Valuer</t>
  </si>
  <si>
    <t>Market Valuation &amp; Cap Rates</t>
  </si>
  <si>
    <t>Cap rate comparisons, NOI improvement data, green building valuation premiums, market transaction data</t>
  </si>
  <si>
    <t>Position as the validation layer that unlocks developer financing; provide market data on green building valuation premiums</t>
  </si>
  <si>
    <t>Project Manager (General Contractor)</t>
  </si>
  <si>
    <t>Execution Tier</t>
  </si>
  <si>
    <t>Schedule &amp; Site Safety</t>
  </si>
  <si>
    <t>Lead times, installation speed data, waste take-back programs, VOC safety data sheets, waste diversion compliance docs</t>
  </si>
  <si>
    <t>Lead with schedule acceleration and job-site safety; offer take-back programs; emphasize low-VOC and dust-free installation keeping the job moving</t>
  </si>
  <si>
    <t>Drywall / Framing Subcontractor</t>
  </si>
  <si>
    <t>Labor Productivity &amp; Ergonomics</t>
  </si>
  <si>
    <t>Weight specs, dust ratings, score-and-snap performance data, consistency/defect rates, callback rate data</t>
  </si>
  <si>
    <t>Pitch labor savings and crew ergonomics; demo lighter boards and cleaner cuts; provide consistency data showing reduced callbacks</t>
  </si>
  <si>
    <t>Flooring Subcontractor</t>
  </si>
  <si>
    <t>Moisture Mitigation &amp; Bond Failure Prevention</t>
  </si>
  <si>
    <t>Moisture tolerance specs, adhesive requirements, breathability ratings, VOC levels of adhesives, installation speed data</t>
  </si>
  <si>
    <t>Lead with bond failure risk reduction; highlight adhesive-free or low-adhesive systems; emphasize worker protection from toxic fumes</t>
  </si>
  <si>
    <t>Concrete Subcontractor</t>
  </si>
  <si>
    <t>Workability &amp; Cure Time</t>
  </si>
  <si>
    <t>Mix workability/flow data, cure time specs, fly ash/slag blend ratios, pump performance data, carbon content of mixes</t>
  </si>
  <si>
    <t>Lead with workability and pour-labor savings; position low-carbon mixes as technically superior; provide mix performance data</t>
  </si>
  <si>
    <t>Procurement Specialist / Purchasing Agent</t>
  </si>
  <si>
    <t>Supply Chain Security &amp; Price Stability</t>
  </si>
  <si>
    <t>Local sourcing documentation, LEED local material credit data, lead times, pricing stability data, supplier reliability data</t>
  </si>
  <si>
    <t>Lead with supply chain resilience narrative; emphasize domestic sourcing for delivery certainty; provide LEED credit documentation as bonus</t>
  </si>
  <si>
    <t>Superintendent (The Super)</t>
  </si>
  <si>
    <t>Defect Reduction &amp; Constructability</t>
  </si>
  <si>
    <t>Consistency/defect rate data, dimensional stability specs, punch-list performance data</t>
  </si>
  <si>
    <t>Show how sustainable composites eliminate warping and reduce punch-list repairs; lead with site-level headache elimination</t>
  </si>
  <si>
    <t>Facility Manager (FM) / Director of Facilities</t>
  </si>
  <si>
    <t>Operational Stewards</t>
  </si>
  <si>
    <t>Total Cost of Ownership &amp; Maintenance Cycles</t>
  </si>
  <si>
    <t>TCO comparisons, maintenance cycle data, cleaning chemical requirements, durability ratings, OpEx projections</t>
  </si>
  <si>
    <t>Lead with reduced maintenance labor and toxic chemical elimination; provide TCO models showing durable flooring vs. VCT 40-year cost</t>
  </si>
  <si>
    <t>Employee Experience &amp; Friction Reduction</t>
  </si>
  <si>
    <t>WELL certification data, air quality specs, biophilic design certifications, acoustic performance ratings, talent retention research</t>
  </si>
  <si>
    <t>Position as talent retention and culture tool; reference the 'hotelification of the office' trend; connect materials to HR recruitment metrics</t>
  </si>
  <si>
    <t>Energy Manager</t>
  </si>
  <si>
    <t>Kilowatt-hours &amp; Peak Demand Charges</t>
  </si>
  <si>
    <t>ROI/payback period data, kWh reduction projections, peak demand reduction data, smart glass specs, Phase Change Material performance data</t>
  </si>
  <si>
    <t>Speak pure ROI; provide payback period calculations; target separately budgeted 'Energy Conservation Measures' funds</t>
  </si>
  <si>
    <t>Cleaning / Environmental Services Manager</t>
  </si>
  <si>
    <t>Staff Health &amp; Hygiene</t>
  </si>
  <si>
    <t>Cleanability ratings, chemical resistance specs, staff respiratory health data, microfiber compatibility, VOC-free maintenance requirements</t>
  </si>
  <si>
    <t>Lead with staff health and reduced chemical storage liability; show how material choice reduces janitorial turnover and injury claims</t>
  </si>
  <si>
    <t>Chief Sustainability Officer (CSO)</t>
  </si>
  <si>
    <t>Strategic Leadership</t>
  </si>
  <si>
    <t>Corporate ESG Strategy &amp; Scope 3 Reporting</t>
  </si>
  <si>
    <t>Scope 3 emissions data, GRI-aligned carbon reporting, supply chain emissions factors, annual report-ready ESG metrics</t>
  </si>
  <si>
    <t>Provide Scope 3-ready supply chain documentation; align with GRI/TCFD reporting standards; make it easy to include in the Annual Report</t>
  </si>
  <si>
    <t>Talent Retention &amp; Cognitive Productivity</t>
  </si>
  <si>
    <t>Cognitive productivity research (Harvard COFX), VOC and ventilation data, WELL certification specs, wellness material certifications</t>
  </si>
  <si>
    <t>Reference Harvard COGfx study; frame as a 5-10% productivity and recruitment tool; connect low-VOC materials to measurable cognitive output</t>
  </si>
  <si>
    <t>Chief Procurement Officer (CPO)</t>
  </si>
  <si>
    <t>Supply Chain Resilience &amp; Ethical Sourcing</t>
  </si>
  <si>
    <t>FSC and chain-of-custody documentation, forced labor compliance certifications, TCO data, supplier transparency reports</t>
  </si>
  <si>
    <t>Lead with supply chain transparency and reputational risk elimination; provide chain-of-custody docs; frame as ethical sourcing enabler</t>
  </si>
  <si>
    <t>Chief Marketing Officer (CMO) / Brand Director</t>
  </si>
  <si>
    <t>Brand Narrative &amp; Cognitive Dissonance</t>
  </si>
  <si>
    <t>Recycled content certifications, sustainability story documentation, material origin transparency, brand alignment case studies</t>
  </si>
  <si>
    <t>Connect material specs to the brand promise; show how store environment manifests the sustainability narrative to prevent customer cognitive dissonance</t>
  </si>
  <si>
    <t>Infection Control Officer (ICO)</t>
  </si>
  <si>
    <t>Sector Verticals</t>
  </si>
  <si>
    <t>Pathogen Reduction &amp; HAI Prevention</t>
  </si>
  <si>
    <t>Non-porosity certifications, UV-C resistance data, HAI reduction clinical data, seamless installation specs, sterilization chemical resistance</t>
  </si>
  <si>
    <t>Lead with HAI reduction data; demonstrate UV-C cleaning compatibility; show non-porous seamless specs; never lead with 'green' — lead with clinical safety</t>
  </si>
  <si>
    <t>Hospital Administrator</t>
  </si>
  <si>
    <t>Patient Satisfaction (HCAHPS) &amp; Medicare Reimbursement</t>
  </si>
  <si>
    <t>Acoustic performance ratings, NRC/STC specs, HCAHPS impact studies, noise reduction certifications</t>
  </si>
  <si>
    <t>Connect acoustic sustainable materials to HCAHPS score improvement and direct Medicare reimbursement rate impact</t>
  </si>
  <si>
    <t>100-Year Lifecycle &amp; Student Activism Response</t>
  </si>
  <si>
    <t>100-year durability data, lifecycle cost projections, fossil fuel divestment alignment, thermal mass specs, carbon footprint data</t>
  </si>
  <si>
    <t>Frame as the 'durability as sustainability' play; provide century-scale lifecycle data; align with student divestment/electrification mandates</t>
  </si>
  <si>
    <t>Store Planning Director</t>
  </si>
  <si>
    <t>Rollout Efficiency &amp; Cost per Square Foot</t>
  </si>
  <si>
    <t>Modular system specs, circular economy take-back options, renovation CapEx reduction data, fixture reusability ratings</t>
  </si>
  <si>
    <t>Lead with multi-store rollout cost savings; pitch modular/reusable systems that reduce renovation CapEx across a fleet of stores</t>
  </si>
  <si>
    <t>Visual Merchandising Director</t>
  </si>
  <si>
    <t>Brand Storytelling &amp; Disposal Cost Reduction</t>
  </si>
  <si>
    <t>Weight/shipping specs, storage/collapsibility data, disposal cost comparisons, recyclable content certifications, biodegradability data</t>
  </si>
  <si>
    <t>Lead with disposal cost elimination across thousands of stores; emphasize lighter weight for shipping savings and collapsibility for storage savings</t>
  </si>
  <si>
    <t>Affordable Housing Developer</t>
  </si>
  <si>
    <t>Utility Allowance Optimization &amp; NOI</t>
  </si>
  <si>
    <t>Passive House performance specs, LIHTC utility allowance impact models, HVAC efficiency data, energy modeling reports</t>
  </si>
  <si>
    <t>Frame high-efficiency envelopes as a financing mechanism that increases allowable rent under LIHTC; provide utility allowance reduction models</t>
  </si>
  <si>
    <t>Leasing Agent / Broker</t>
  </si>
  <si>
    <t>Lease Velocity &amp; Rental Premium</t>
  </si>
  <si>
    <t>LEED/WELL certification status, tenant mandate documentation, market premium data, time-to-lease comparisons</t>
  </si>
  <si>
    <t>Show how sustainable finishes attract Class A tenants faster at 15%+ premium; provide market data on LEED/WELL occupancy rates</t>
  </si>
  <si>
    <t>Owner's Representative (Owner's Rep)</t>
  </si>
  <si>
    <t>Fiduciary Responsibility &amp; Spec Protection</t>
  </si>
  <si>
    <t>Full project specification documentation, stormwater permit requirements, energy goal compliance data, VE-resistance specs</t>
  </si>
  <si>
    <t>Position as the firewall ally protecting green specs from contractor VE cuts; provide Owner's Rep-ready justification documentation</t>
  </si>
  <si>
    <t>Distributor / Wholesaler (Branch Manager)</t>
  </si>
  <si>
    <t>Supply Chain</t>
  </si>
  <si>
    <t>Inventory Turns &amp; Margin</t>
  </si>
  <si>
    <t>Multi-function SKU specs, pre-formatted LEED paperwork, easy documentation access, product handling ease data</t>
  </si>
  <si>
    <t>Lead with inventory efficiency and documentation simplicity; show how one SKU replaces three; make LEED paperwork instantly accessible to stop GC callback calls</t>
  </si>
  <si>
    <t>Franchisee (Small Business Owner)</t>
  </si>
  <si>
    <t>CapEx vs. OpEx &amp; Short Payback Period</t>
  </si>
  <si>
    <t>Under-2-year payback period data, energy savings projections, ROI calculations, operational cost comparisons</t>
  </si>
  <si>
    <t>Lead with sub-2-year payback period calculations; make the ROI irrefutable; acknowledge they pay for it personally</t>
  </si>
  <si>
    <t>Municipal / Government Procurement Officer</t>
  </si>
  <si>
    <t>Audit Safety &amp; Compliance</t>
  </si>
  <si>
    <t>Cooperative Purchasing Contracts (Sourcewell), EPP compliance documentation, audit-proof procurement records</t>
  </si>
  <si>
    <t>Lead with Cooperative Purchasing Contract availability (Sourcewell etc.); frame as audit-safe compliance tool that avoids political fallout</t>
  </si>
  <si>
    <t>Green Realtor / Green Real Estate Agent</t>
  </si>
  <si>
    <t>Resale Value &amp; Storytelling</t>
  </si>
  <si>
    <t>Resale value data, appraisal premiums for green features, simple buyer-facing value narratives</t>
  </si>
  <si>
    <t>Provide simple ROI narratives (e.g. 'this solar roof adds $20K to resale'); equip with buyer-facing talking points</t>
  </si>
  <si>
    <t>Fire Marshal / Code Official</t>
  </si>
  <si>
    <t>Public Safety &amp; Code Approval</t>
  </si>
  <si>
    <t>Code compliance documentation, fire safety test results, mass timber approval precedents, sustainable insulation safety data</t>
  </si>
  <si>
    <t>Lead with code compliance and safety proof; provide approval precedents for mass timber and advanced insulation; position approval as the ultimate purchasing permit</t>
  </si>
  <si>
    <t>GreenChainz B2B Marketplace — Intelligence Dashboard</t>
  </si>
  <si>
    <t>Sustainable Building Materials · Supplier Targets · Decision Maker Roles · Outreach Intelligence</t>
  </si>
  <si>
    <t>SUPPLIER TARGETS</t>
  </si>
  <si>
    <t>Total Suppliers</t>
  </si>
  <si>
    <t>Have EPD</t>
  </si>
  <si>
    <t>High Readiness</t>
  </si>
  <si>
    <t>Medium Readiness</t>
  </si>
  <si>
    <t>Low Readiness</t>
  </si>
  <si>
    <t>DECISION MAKER ROLES</t>
  </si>
  <si>
    <t>Total Roles Profiled</t>
  </si>
  <si>
    <t>Hidden Gem Roles</t>
  </si>
  <si>
    <t>High Purchase Volume</t>
  </si>
  <si>
    <t>TARGET FIRMS</t>
  </si>
  <si>
    <t>Total Target Firms</t>
  </si>
  <si>
    <t>SUPPLIERS BY CATEGORY</t>
  </si>
  <si>
    <t>Other</t>
  </si>
  <si>
    <t>ROLES BY PROCUREMENT LAYER</t>
  </si>
  <si>
    <t>QUICK REFERENCE — TOP PRIORITY TARGETS</t>
  </si>
  <si>
    <t>Priority</t>
  </si>
  <si>
    <t>Supplier / Company</t>
  </si>
  <si>
    <t>Pitch Angle</t>
  </si>
  <si>
    <t>EPD</t>
  </si>
  <si>
    <t>1 — Founding 50</t>
  </si>
  <si>
    <t>Specification Security — ASTM compliance data + bio-cool factor</t>
  </si>
  <si>
    <t>CLT / Mass Timber</t>
  </si>
  <si>
    <t>Sell Speed — schedule savings of CLT vs. concrete</t>
  </si>
  <si>
    <t>Yes</t>
  </si>
  <si>
    <t>Hemp Insulation</t>
  </si>
  <si>
    <t>Health &amp; Safety — no itch, no VOC, carbon storage</t>
  </si>
  <si>
    <t>Site-Specific Circularity — demolition waste to new bricks</t>
  </si>
  <si>
    <t>Domestic Wood Fiber — first North American producer, no import lead time</t>
  </si>
  <si>
    <t>KEY ENGAGEMENT INSIGHT</t>
  </si>
  <si>
    <t>Hidden Gem Roles to prioritize: Specification Writer, Landscape Architect, Value Engineer, Drywall Subcontractor, Flooring Subcontractor, Concrete Subcontractor, Superintendent, Facility Manager, Energy Manager, Cleaning Manager, Infection Control Officer, Fire Marshal</t>
  </si>
  <si>
    <t>These under-served roles have high influence but are overlooked by most sustainable material vendors — ideal GreenChainz differentiation opportunity.</t>
  </si>
  <si>
    <t>Count</t>
  </si>
  <si>
    <t>Readiness</t>
  </si>
  <si>
    <t>High</t>
  </si>
  <si>
    <t>Medium</t>
  </si>
  <si>
    <t>Low</t>
  </si>
  <si>
    <t>💡 See charts on Supplier Targets and Decision Maker Roles tabs for visual breakdowns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</si>
</sst>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276221"/>
      <name val="Calibri"/>
      <family val="2"/>
      <scheme val="minor"/>
    </font>
    <font>
      <b/>
      <sz val="10"/>
      <color rgb="FF1E40AF"/>
      <name val="Calibri"/>
      <family val="2"/>
      <scheme val="minor"/>
    </font>
    <font>
      <b/>
      <sz val="10"/>
      <color rgb="FF92400E"/>
      <name val="Calibri"/>
      <family val="2"/>
      <scheme val="minor"/>
    </font>
    <font>
      <b/>
      <sz val="10"/>
      <color rgb="FF9D174D"/>
      <name val="Calibri"/>
      <family val="2"/>
      <scheme val="minor"/>
    </font>
    <font>
      <b/>
      <sz val="10"/>
      <color rgb="FF065F46"/>
      <name val="Calibri"/>
      <family val="2"/>
      <scheme val="minor"/>
    </font>
    <font>
      <b/>
      <sz val="10"/>
      <color rgb="FF5B21B6"/>
      <name val="Calibri"/>
      <family val="2"/>
      <scheme val="minor"/>
    </font>
    <font>
      <b/>
      <sz val="10"/>
      <color rgb="FF9A3412"/>
      <name val="Calibri"/>
      <family val="2"/>
      <scheme val="minor"/>
    </font>
    <font>
      <b/>
      <sz val="10"/>
      <color rgb="FF0369A1"/>
      <name val="Calibri"/>
      <family val="2"/>
      <scheme val="minor"/>
    </font>
    <font>
      <b/>
      <sz val="18"/>
      <color rgb="FF1B4332"/>
      <name val="Calibri"/>
      <family val="2"/>
      <scheme val="minor"/>
    </font>
    <font>
      <i/>
      <sz val="11"/>
      <color rgb="FF37415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2"/>
      <color rgb="FF276221"/>
      <name val="Calibri"/>
      <family val="2"/>
      <scheme val="minor"/>
    </font>
    <font>
      <b/>
      <sz val="12"/>
      <color rgb="FF9C5700"/>
      <name val="Calibri"/>
      <family val="2"/>
      <scheme val="minor"/>
    </font>
    <font>
      <b/>
      <sz val="12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1B4332"/>
      <name val="Calibri"/>
      <family val="2"/>
      <scheme val="minor"/>
    </font>
    <font>
      <b/>
      <sz val="11"/>
      <color rgb="FF1B4332"/>
      <name val="Calibri"/>
      <family val="2"/>
      <scheme val="minor"/>
    </font>
    <font>
      <b/>
      <i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20"/>
      <color rgb="FF1B4332"/>
      <name val="Calibri"/>
      <family val="2"/>
      <scheme val="minor"/>
    </font>
    <font>
      <i/>
      <sz val="10"/>
      <color rgb="FF37415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B4332"/>
        <bgColor indexed="64"/>
      </patternFill>
    </fill>
    <fill>
      <patternFill patternType="solid">
        <fgColor rgb="FFF0FA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CE7F3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D1FAE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4" borderId="0" xfId="0" quotePrefix="1" applyFont="1" applyFill="1" applyAlignment="1">
      <alignment vertical="top" wrapText="1"/>
    </xf>
    <xf numFmtId="0" fontId="3" fillId="2" borderId="0" xfId="0" applyFont="1" applyFill="1" applyAlignment="1">
      <alignment vertical="center"/>
    </xf>
    <xf numFmtId="0" fontId="5" fillId="3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8" fillId="6" borderId="0" xfId="0" applyFont="1" applyFill="1" applyAlignment="1">
      <alignment vertical="top" wrapText="1"/>
    </xf>
    <xf numFmtId="0" fontId="9" fillId="7" borderId="0" xfId="0" applyFont="1" applyFill="1" applyAlignment="1">
      <alignment vertical="top" wrapText="1"/>
    </xf>
    <xf numFmtId="0" fontId="10" fillId="8" borderId="0" xfId="0" applyFont="1" applyFill="1" applyAlignment="1">
      <alignment vertical="top" wrapText="1"/>
    </xf>
    <xf numFmtId="0" fontId="11" fillId="9" borderId="0" xfId="0" applyFont="1" applyFill="1" applyAlignment="1">
      <alignment vertical="top" wrapText="1"/>
    </xf>
    <xf numFmtId="0" fontId="12" fillId="10" borderId="0" xfId="0" applyFont="1" applyFill="1" applyAlignment="1">
      <alignment vertical="top" wrapText="1"/>
    </xf>
    <xf numFmtId="0" fontId="13" fillId="11" borderId="0" xfId="0" applyFont="1" applyFill="1" applyAlignment="1">
      <alignment vertical="top" wrapText="1"/>
    </xf>
    <xf numFmtId="0" fontId="14" fillId="12" borderId="0" xfId="0" applyFont="1" applyFill="1"/>
    <xf numFmtId="0" fontId="15" fillId="12" borderId="0" xfId="0" applyFont="1" applyFill="1"/>
    <xf numFmtId="0" fontId="16" fillId="2" borderId="0" xfId="0" applyFont="1" applyFill="1"/>
    <xf numFmtId="0" fontId="1" fillId="0" borderId="0" xfId="0" applyFont="1"/>
    <xf numFmtId="0" fontId="4" fillId="0" borderId="0" xfId="0" applyFont="1"/>
    <xf numFmtId="0" fontId="20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5" fillId="12" borderId="0" xfId="0" applyFont="1" applyFill="1"/>
    <xf numFmtId="0" fontId="21" fillId="0" borderId="0" xfId="0" applyFont="1"/>
    <xf numFmtId="0" fontId="6" fillId="0" borderId="0" xfId="0" applyFont="1"/>
    <xf numFmtId="0" fontId="22" fillId="0" borderId="0" xfId="0" applyFont="1"/>
    <xf numFmtId="0" fontId="23" fillId="0" borderId="0" xfId="0" applyFont="1" applyAlignment="1">
      <alignment wrapText="1"/>
    </xf>
    <xf numFmtId="0" fontId="0" fillId="0" borderId="0" xfId="0" applyAlignment="1">
      <alignment wrapText="1"/>
    </xf>
    <xf numFmtId="0" fontId="24" fillId="0" borderId="0" xfId="0" applyFont="1" applyAlignment="1">
      <alignment wrapText="1"/>
    </xf>
    <xf numFmtId="0" fontId="1" fillId="0" borderId="0" xfId="0" applyFont="1" applyBorder="1"/>
    <xf numFmtId="0" fontId="4" fillId="0" borderId="0" xfId="0" applyFont="1" applyBorder="1"/>
    <xf numFmtId="0" fontId="17" fillId="0" borderId="0" xfId="0" applyFont="1" applyBorder="1"/>
    <xf numFmtId="0" fontId="18" fillId="0" borderId="0" xfId="0" applyFont="1" applyBorder="1"/>
    <xf numFmtId="0" fontId="4" fillId="0" borderId="1" xfId="0" applyFont="1" applyBorder="1"/>
    <xf numFmtId="0" fontId="19" fillId="0" borderId="1" xfId="0" applyFont="1" applyBorder="1"/>
    <xf numFmtId="0" fontId="17" fillId="0" borderId="1" xfId="0" applyFont="1" applyBorder="1"/>
    <xf numFmtId="0" fontId="25" fillId="0" borderId="0" xfId="0" applyFont="1" applyBorder="1"/>
    <xf numFmtId="0" fontId="25" fillId="0" borderId="0" xfId="0" applyFont="1"/>
    <xf numFmtId="0" fontId="26" fillId="0" borderId="0" xfId="0" applyFont="1"/>
  </cellXfs>
  <cellStyles count="1">
    <cellStyle name="Normal" xfId="0" builtinId="0"/>
  </cellStyles>
  <dxfs count="13"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1B4F72"/>
      </font>
      <fill>
        <patternFill patternType="solid">
          <fgColor indexed="64"/>
          <bgColor rgb="FFEBF5FB"/>
        </patternFill>
      </fill>
    </dxf>
    <dxf>
      <font>
        <color rgb="FF78281F"/>
      </font>
      <fill>
        <patternFill patternType="solid">
          <fgColor indexed="64"/>
          <bgColor rgb="FFF9EBEA"/>
        </patternFill>
      </fill>
    </dxf>
    <dxf>
      <font>
        <color rgb="FF784212"/>
      </font>
      <fill>
        <patternFill patternType="solid">
          <fgColor indexed="64"/>
          <bgColor rgb="FFFDEBD0"/>
        </patternFill>
      </fill>
    </dxf>
    <dxf>
      <font>
        <color rgb="FF1D6A39"/>
      </font>
      <fill>
        <patternFill patternType="solid">
          <fgColor indexed="64"/>
          <bgColor rgb="FFD5F5E3"/>
        </patternFill>
      </fill>
    </dxf>
    <dxf>
      <font>
        <color rgb="FF1A5276"/>
      </font>
      <fill>
        <patternFill patternType="solid">
          <fgColor indexed="64"/>
          <bgColor rgb="FFD6EAF8"/>
        </patternFill>
      </fill>
    </dxf>
    <dxf>
      <font>
        <b/>
        <i val="0"/>
        <color rgb="FF155724"/>
      </font>
      <fill>
        <patternFill patternType="solid">
          <fgColor indexed="64"/>
          <bgColor rgb="FFC3E6CB"/>
        </patternFill>
      </fill>
    </dxf>
    <dxf>
      <font>
        <color rgb="FF721C24"/>
      </font>
      <fill>
        <patternFill patternType="solid">
          <fgColor indexed="64"/>
          <bgColor rgb="FFF8D7DA"/>
        </patternFill>
      </fill>
    </dxf>
    <dxf>
      <font>
        <color rgb="FF856404"/>
      </font>
      <fill>
        <patternFill patternType="solid">
          <fgColor indexed="64"/>
          <bgColor rgb="FFFFF3CD"/>
        </patternFill>
      </fill>
    </dxf>
    <dxf>
      <font>
        <b/>
        <i val="0"/>
        <color rgb="FF155724"/>
      </font>
      <fill>
        <patternFill patternType="solid">
          <fgColor indexed="64"/>
          <bgColor rgb="FFD4EDDA"/>
        </patternFill>
      </fill>
    </dxf>
  </dxfs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Roles by Procurement Layer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'Decision Maker Roles'!$J$1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'Decision Maker Roles'!$I$2:$I$8</c:f>
              <c:strCache>
                <c:ptCount val="7"/>
                <c:pt idx="0">
                  <c:v>Design Authorities</c:v>
                </c:pt>
                <c:pt idx="1">
                  <c:v>Financial Gatekeepers</c:v>
                </c:pt>
                <c:pt idx="2">
                  <c:v>Execution Tier</c:v>
                </c:pt>
                <c:pt idx="3">
                  <c:v>Operational Stewards</c:v>
                </c:pt>
                <c:pt idx="4">
                  <c:v>Strategic Leadership</c:v>
                </c:pt>
                <c:pt idx="5">
                  <c:v>Sector Verticals</c:v>
                </c:pt>
                <c:pt idx="6">
                  <c:v>Supply Chain</c:v>
                </c:pt>
              </c:strCache>
            </c:strRef>
          </c:cat>
          <c:val>
            <c:numRef>
              <c:f>'Decision Maker Roles'!$J$2:$J$8</c:f>
              <c:numCache>
                <c:formatCode>General</c:formatCode>
                <c:ptCount val="7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8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C-4D24-A778-BE250AA5F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B433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Suppliers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B433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'Supplier Targets'!$M$1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B4332"/>
            </a:solidFill>
            <a:ln>
              <a:noFill/>
            </a:ln>
            <a:effectLst/>
          </c:spPr>
          <c:invertIfNegative val="0"/>
          <c:cat>
            <c:strRef>
              <c:f>'Supplier Targets'!$L$2:$L$10</c:f>
              <c:strCache>
                <c:ptCount val="9"/>
                <c:pt idx="0">
                  <c:v>Circular Economy / Waste</c:v>
                </c:pt>
                <c:pt idx="1">
                  <c:v>Concrete / Cement</c:v>
                </c:pt>
                <c:pt idx="2">
                  <c:v>Wood / Timber</c:v>
                </c:pt>
                <c:pt idx="3">
                  <c:v>Mass Timber</c:v>
                </c:pt>
                <c:pt idx="4">
                  <c:v>Insulation / Bio-Based</c:v>
                </c:pt>
                <c:pt idx="5">
                  <c:v>Insulation</c:v>
                </c:pt>
                <c:pt idx="6">
                  <c:v>Mycelium / Bio-Fabrication</c:v>
                </c:pt>
                <c:pt idx="7">
                  <c:v>Glazing / Windows</c:v>
                </c:pt>
                <c:pt idx="8">
                  <c:v>Biophilic / Living Systems</c:v>
                </c:pt>
              </c:strCache>
            </c:strRef>
          </c:cat>
          <c:val>
            <c:numRef>
              <c:f>'Supplier Targets'!$M$2:$M$10</c:f>
              <c:numCache>
                <c:formatCode>General</c:formatCode>
                <c:ptCount val="9"/>
                <c:pt idx="0">
                  <c:v>26</c:v>
                </c:pt>
                <c:pt idx="1">
                  <c:v>20</c:v>
                </c:pt>
                <c:pt idx="2">
                  <c:v>14</c:v>
                </c:pt>
                <c:pt idx="3">
                  <c:v>10</c:v>
                </c:pt>
                <c:pt idx="4">
                  <c:v>9</c:v>
                </c:pt>
                <c:pt idx="5">
                  <c:v>10</c:v>
                </c:pt>
                <c:pt idx="6">
                  <c:v>10</c:v>
                </c:pt>
                <c:pt idx="7">
                  <c:v>5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D-4472-84AD-F111326F6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0106575"/>
        <c:axId val="540108975"/>
      </c:barChart>
      <c:catAx>
        <c:axId val="540106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08975"/>
        <c:crosses val="autoZero"/>
        <c:auto val="1"/>
        <c:lblAlgn val="ctr"/>
        <c:lblOffset val="100"/>
        <c:noMultiLvlLbl val="0"/>
      </c:catAx>
      <c:valAx>
        <c:axId val="54010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0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Readiness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'Supplier Targets'!$M$12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'Supplier Targets'!$L$13:$L$15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'Supplier Targets'!$M$13:$M$15</c:f>
              <c:numCache>
                <c:formatCode>General</c:formatCode>
                <c:ptCount val="3"/>
                <c:pt idx="0">
                  <c:v>57</c:v>
                </c:pt>
                <c:pt idx="1">
                  <c:v>60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7-4F42-8944-A44BE68EF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Readiness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'Supplier Targets'!$M$12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'Supplier Targets'!$L$13:$L$15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'Supplier Targets'!$M$13:$M$15</c:f>
              <c:numCache>
                <c:formatCode>General</c:formatCode>
                <c:ptCount val="3"/>
                <c:pt idx="0">
                  <c:v>57</c:v>
                </c:pt>
                <c:pt idx="1">
                  <c:v>60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2-469A-B2E0-376455E5F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pages.store.office.com/addinsinstallpage.aspx?rs=en-US&amp;assetid=WA200009404&amp;isWac=True&amp;ui=en-US&amp;ad=US" TargetMode="Externa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6383</xdr:colOff>
      <xdr:row>39</xdr:row>
      <xdr:rowOff>6350</xdr:rowOff>
    </xdr:to>
    <xdr:grpSp>
      <xdr:nvGrpSpPr>
        <xdr:cNvPr id="2" name="GroupName">
          <a:extLst>
            <a:ext uri="{FF2B5EF4-FFF2-40B4-BE49-F238E27FC236}">
              <a16:creationId xmlns:a16="http://schemas.microsoft.com/office/drawing/2014/main" id="{AE78BA04-CF16-4C74-98B9-8DACE646475B}"/>
            </a:ext>
          </a:extLst>
        </xdr:cNvPr>
        <xdr:cNvGrpSpPr/>
      </xdr:nvGrpSpPr>
      <xdr:grpSpPr>
        <a:xfrm>
          <a:off x="0" y="0"/>
          <a:ext cx="21056633" cy="9798050"/>
          <a:chOff x="0" y="0"/>
          <a:chExt cx="10547394" cy="7626350"/>
        </a:xfrm>
      </xdr:grpSpPr>
      <xdr:sp macro="" textlink="">
        <xdr:nvSpPr>
          <xdr:cNvPr id="14" name="Background">
            <a:extLst>
              <a:ext uri="{FF2B5EF4-FFF2-40B4-BE49-F238E27FC236}">
                <a16:creationId xmlns:a16="http://schemas.microsoft.com/office/drawing/2014/main" id="{073E1467-8F07-4DC8-BA59-4882BB15403C}"/>
              </a:ext>
            </a:extLst>
          </xdr:cNvPr>
          <xdr:cNvSpPr/>
        </xdr:nvSpPr>
        <xdr:spPr>
          <a:xfrm>
            <a:off x="0" y="0"/>
            <a:ext cx="10534691" cy="76263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E" sz="1100"/>
          </a:p>
        </xdr:txBody>
      </xdr:sp>
      <xdr:sp macro="" textlink="">
        <xdr:nvSpPr>
          <xdr:cNvPr id="32" name="OtherAppsContent">
            <a:extLst>
              <a:ext uri="{FF2B5EF4-FFF2-40B4-BE49-F238E27FC236}">
                <a16:creationId xmlns:a16="http://schemas.microsoft.com/office/drawing/2014/main" id="{74690AC1-7226-4506-BCA3-549869736BDC}"/>
              </a:ext>
            </a:extLst>
          </xdr:cNvPr>
          <xdr:cNvSpPr txBox="1"/>
        </xdr:nvSpPr>
        <xdr:spPr>
          <a:xfrm>
            <a:off x="912447" y="6763789"/>
            <a:ext cx="9634947" cy="294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3" name="OtherAppsHeader">
            <a:extLst>
              <a:ext uri="{FF2B5EF4-FFF2-40B4-BE49-F238E27FC236}">
                <a16:creationId xmlns:a16="http://schemas.microsoft.com/office/drawing/2014/main" id="{0D640A13-CBB2-46AE-9AD4-42CBFEBF0D26}"/>
              </a:ext>
            </a:extLst>
          </xdr:cNvPr>
          <xdr:cNvSpPr txBox="1"/>
        </xdr:nvSpPr>
        <xdr:spPr>
          <a:xfrm>
            <a:off x="912446" y="6407228"/>
            <a:ext cx="9634946" cy="339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6" name="InstallationHelpContent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5189EA5-1324-42DD-8EBE-616EF92E1C5B}"/>
              </a:ext>
            </a:extLst>
          </xdr:cNvPr>
          <xdr:cNvSpPr txBox="1"/>
        </xdr:nvSpPr>
        <xdr:spPr>
          <a:xfrm>
            <a:off x="912446" y="5563559"/>
            <a:ext cx="9622246" cy="5011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Return to your internet browser or copy this link into your browser:</a:t>
            </a:r>
          </a:p>
          <a:p>
            <a:pPr marL="0" indent="0" algn="l" defTabSz="914400" rtl="0" eaLnBrk="1" latinLnBrk="0" hangingPunct="1"/>
            <a:r>
              <a:rPr lang="en-US" sz="1200" b="0" i="0" u="sng" kern="1200">
                <a:solidFill>
                  <a:srgbClr val="0563C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https://pages.store.office.com/addinsinstallpage.aspx?rs=en-US&amp;assetid=WA200009404&amp;isWac=True&amp;ui=en-US&amp;ad=US</a:t>
            </a:r>
          </a:p>
        </xdr:txBody>
      </xdr:sp>
      <xdr:sp macro="" textlink="">
        <xdr:nvSpPr>
          <xdr:cNvPr id="37" name="InstallationHelpHeader">
            <a:extLst>
              <a:ext uri="{FF2B5EF4-FFF2-40B4-BE49-F238E27FC236}">
                <a16:creationId xmlns:a16="http://schemas.microsoft.com/office/drawing/2014/main" id="{0AD63894-8D6E-4682-872C-5B2148E5455D}"/>
              </a:ext>
            </a:extLst>
          </xdr:cNvPr>
          <xdr:cNvSpPr txBox="1"/>
        </xdr:nvSpPr>
        <xdr:spPr>
          <a:xfrm>
            <a:off x="912446" y="5219725"/>
            <a:ext cx="9622245" cy="34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0" i="0">
                <a:latin typeface="Segoe UI Light" panose="020B0502040204020203" pitchFamily="34" charset="0"/>
                <a:cs typeface="Segoe UI Light" panose="020B0502040204020203" pitchFamily="34" charset="0"/>
              </a:rPr>
              <a:t>Need more help?</a:t>
            </a:r>
          </a:p>
        </xdr:txBody>
      </xdr:sp>
      <xdr:pic>
        <xdr:nvPicPr>
          <xdr:cNvPr id="16" name="LaunchHelpImage" descr="Office ribbon open on the Home tab.">
            <a:extLst>
              <a:ext uri="{FF2B5EF4-FFF2-40B4-BE49-F238E27FC236}">
                <a16:creationId xmlns:a16="http://schemas.microsoft.com/office/drawing/2014/main" id="{0F8E4033-DE75-404D-B028-28D0EEF181F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12446" y="2782779"/>
            <a:ext cx="5929327" cy="2086762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GroupName">
            <a:extLst>
              <a:ext uri="{FF2B5EF4-FFF2-40B4-BE49-F238E27FC236}">
                <a16:creationId xmlns:a16="http://schemas.microsoft.com/office/drawing/2014/main" id="{A6817EF0-1454-46EA-8D01-85B74F1678B5}"/>
              </a:ext>
            </a:extLst>
          </xdr:cNvPr>
          <xdr:cNvSpPr txBox="1"/>
        </xdr:nvSpPr>
        <xdr:spPr>
          <a:xfrm>
            <a:off x="5388720" y="4173572"/>
            <a:ext cx="908001" cy="309809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06000"/>
              </a:lnSpc>
              <a:spcAft>
                <a:spcPts val="0"/>
              </a:spcAft>
            </a:pPr>
            <a:r>
              <a:rPr lang="en-GB" sz="800" kern="1200">
                <a:solidFill>
                  <a:srgbClr val="404040"/>
                </a:solidFill>
                <a:effectLst/>
                <a:latin typeface="Segoe UI" panose="020B0502040204020203" pitchFamily="34" charset="0"/>
                <a:ea typeface="Times New Roman" panose="02020603050405020304" pitchFamily="18" charset="0"/>
                <a:cs typeface="Segoe UI" panose="020B0502040204020203" pitchFamily="34" charset="0"/>
              </a:rPr>
              <a:t>Claude</a:t>
            </a:r>
            <a:endParaRPr lang="en-IE" sz="1200">
              <a:effectLst/>
              <a:latin typeface="Segoe UI" panose="020B0502040204020203" pitchFamily="34" charset="0"/>
              <a:ea typeface="Times New Roman" panose="02020603050405020304" pitchFamily="18" charset="0"/>
              <a:cs typeface="Segoe UI" panose="020B0502040204020203" pitchFamily="34" charset="0"/>
            </a:endParaRPr>
          </a:p>
        </xdr:txBody>
      </xdr:sp>
      <xdr:pic>
        <xdr:nvPicPr>
          <xdr:cNvPr id="39" name="CommandButton" descr="Command button for Claude by Anthropic for Excel.">
            <a:extLst>
              <a:ext uri="{FF2B5EF4-FFF2-40B4-BE49-F238E27FC236}">
                <a16:creationId xmlns:a16="http://schemas.microsoft.com/office/drawing/2014/main" id="{14ACEC7E-44DC-4800-844B-855892650726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8021" y="3345116"/>
            <a:ext cx="471922" cy="475916"/>
          </a:xfrm>
          <a:prstGeom prst="rect">
            <a:avLst/>
          </a:prstGeom>
          <a:noFill/>
        </xdr:spPr>
      </xdr:pic>
      <xdr:sp macro="" textlink="">
        <xdr:nvSpPr>
          <xdr:cNvPr id="40" name="TabName">
            <a:extLst>
              <a:ext uri="{FF2B5EF4-FFF2-40B4-BE49-F238E27FC236}">
                <a16:creationId xmlns:a16="http://schemas.microsoft.com/office/drawing/2014/main" id="{714FFE5A-10D6-4C37-9966-6D547D6ED4EC}"/>
              </a:ext>
            </a:extLst>
          </xdr:cNvPr>
          <xdr:cNvSpPr txBox="1"/>
        </xdr:nvSpPr>
        <xdr:spPr>
          <a:xfrm>
            <a:off x="1661792" y="3064905"/>
            <a:ext cx="1129178" cy="315771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/>
          <a:p>
            <a:pPr algn="ctr">
              <a:lnSpc>
                <a:spcPct val="105000"/>
              </a:lnSpc>
              <a:spcAft>
                <a:spcPts val="0"/>
              </a:spcAft>
            </a:pPr>
            <a:r>
              <a:rPr lang="en-GB" sz="1000" kern="1200">
                <a:solidFill>
                  <a:srgbClr val="217346"/>
                </a:solidFill>
                <a:effectLst/>
                <a:latin typeface="Segoe UI Semibold" panose="020B0702040204020203" pitchFamily="34" charset="0"/>
                <a:ea typeface="Times New Roman" panose="02020603050405020304" pitchFamily="18" charset="0"/>
              </a:rPr>
              <a:t>Home</a:t>
            </a:r>
            <a:endParaRPr lang="en-IE" sz="1200">
              <a:solidFill>
                <a:srgbClr val="217346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1" name="LaunchHelpContent2">
            <a:extLst>
              <a:ext uri="{FF2B5EF4-FFF2-40B4-BE49-F238E27FC236}">
                <a16:creationId xmlns:a16="http://schemas.microsoft.com/office/drawing/2014/main" id="{94BC9635-A68F-454A-A7D9-2BCB8CFDF1BC}"/>
              </a:ext>
            </a:extLst>
          </xdr:cNvPr>
          <xdr:cNvSpPr txBox="1"/>
        </xdr:nvSpPr>
        <xdr:spPr>
          <a:xfrm>
            <a:off x="912447" y="2490830"/>
            <a:ext cx="9628580" cy="331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On the Home tab</a:t>
            </a:r>
            <a:endParaRPr lang="en-US" sz="1200" b="0" i="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42" name="LaunchHelpContent1">
            <a:extLst>
              <a:ext uri="{FF2B5EF4-FFF2-40B4-BE49-F238E27FC236}">
                <a16:creationId xmlns:a16="http://schemas.microsoft.com/office/drawing/2014/main" id="{95562660-9FFC-4C01-8DC7-4EDE3014CA51}"/>
              </a:ext>
            </a:extLst>
          </xdr:cNvPr>
          <xdr:cNvSpPr txBox="1"/>
        </xdr:nvSpPr>
        <xdr:spPr>
          <a:xfrm>
            <a:off x="912447" y="2118089"/>
            <a:ext cx="9628580" cy="3311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After you install the add-in, you can launch it by choosing the add-in button on the Home tab</a:t>
            </a:r>
            <a:endParaRPr lang="en-US" sz="1200" b="1" i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3" name="LaunchHelpHeader">
            <a:extLst>
              <a:ext uri="{FF2B5EF4-FFF2-40B4-BE49-F238E27FC236}">
                <a16:creationId xmlns:a16="http://schemas.microsoft.com/office/drawing/2014/main" id="{95EC41EE-7B76-421B-906D-8355B601BBE9}"/>
              </a:ext>
            </a:extLst>
          </xdr:cNvPr>
          <xdr:cNvSpPr txBox="1"/>
        </xdr:nvSpPr>
        <xdr:spPr>
          <a:xfrm>
            <a:off x="912447" y="1569427"/>
            <a:ext cx="9628580" cy="493377"/>
          </a:xfrm>
          <a:prstGeom prst="rect">
            <a:avLst/>
          </a:prstGeom>
        </xdr:spPr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>
                <a:latin typeface="Segoe UI Light" panose="020B0502040204020203" pitchFamily="34" charset="0"/>
                <a:cs typeface="Segoe UI Light" panose="020B0502040204020203" pitchFamily="34" charset="0"/>
              </a:rPr>
              <a:t>Launch the add-in</a:t>
            </a:r>
          </a:p>
        </xdr:txBody>
      </xdr:sp>
      <xdr:sp macro="" textlink="">
        <xdr:nvSpPr>
          <xdr:cNvPr id="34" name="Add-in_Banner">
            <a:extLst>
              <a:ext uri="{FF2B5EF4-FFF2-40B4-BE49-F238E27FC236}">
                <a16:creationId xmlns:a16="http://schemas.microsoft.com/office/drawing/2014/main" id="{BE51DB72-110A-4850-92E2-9D8009DF0808}"/>
              </a:ext>
            </a:extLst>
          </xdr:cNvPr>
          <xdr:cNvSpPr txBox="1"/>
        </xdr:nvSpPr>
        <xdr:spPr>
          <a:xfrm>
            <a:off x="0" y="492369"/>
            <a:ext cx="10541026" cy="671879"/>
          </a:xfrm>
          <a:prstGeom prst="rect">
            <a:avLst/>
          </a:prstGeom>
          <a:solidFill>
            <a:srgbClr val="494748">
              <a:alpha val="470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overflow" horzOverflow="overflow" vert="horz" wrap="square" lIns="1332000" tIns="180000" rIns="216000" bIns="180000" numCol="1" spcCol="0" rtlCol="0" fromWordArt="0" anchor="ctr" anchorCtr="0" forceAA="0" compatLnSpc="1">
            <a:prstTxWarp prst="textNoShape">
              <a:avLst/>
            </a:prstTxWarp>
            <a:spAutoFit/>
          </a:bodyPr>
          <a:lstStyle/>
          <a:p>
            <a:pPr>
              <a:spcAft>
                <a:spcPts val="0"/>
              </a:spcAft>
            </a:pPr>
            <a:r>
              <a:rPr lang="en-GB" sz="1800">
                <a:solidFill>
                  <a:srgbClr val="000000"/>
                </a:solidFill>
                <a:effectLst/>
                <a:latin typeface="Segoe UI Light" panose="020B0502040204020203" pitchFamily="34" charset="0"/>
                <a:ea typeface="Calibri" panose="020F0502020204030204" pitchFamily="34" charset="0"/>
                <a:cs typeface="Segoe UI Light" panose="020B0502040204020203" pitchFamily="34" charset="0"/>
              </a:rPr>
              <a:t>Claude by Anthropic for Excel</a:t>
            </a:r>
            <a:endParaRPr lang="en-IE" sz="1200">
              <a:effectLst/>
              <a:latin typeface="Segoe UI Light" panose="020B0502040204020203" pitchFamily="34" charset="0"/>
              <a:ea typeface="Calibri" panose="020F0502020204030204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35" name="Add-in_Icon" descr="Icon for Claude by Anthropic for Excel.">
            <a:extLst>
              <a:ext uri="{FF2B5EF4-FFF2-40B4-BE49-F238E27FC236}">
                <a16:creationId xmlns:a16="http://schemas.microsoft.com/office/drawing/2014/main" id="{676B5885-CE1D-41F5-B18C-0D99664E1A2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 bwMode="auto">
          <a:xfrm>
            <a:off x="912446" y="687754"/>
            <a:ext cx="291465" cy="289999"/>
          </a:xfrm>
          <a:prstGeom prst="rect">
            <a:avLst/>
          </a:prstGeom>
          <a:noFill/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1654175</xdr:colOff>
      <xdr:row>8</xdr:row>
      <xdr:rowOff>279400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AD1FEE-8F70-8A7C-F1E4-E1B2A7645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1012825</xdr:colOff>
      <xdr:row>6</xdr:row>
      <xdr:rowOff>393700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6A3A09-272A-0307-DAD8-F06D7EBDE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1266825</xdr:colOff>
      <xdr:row>0</xdr:row>
      <xdr:rowOff>0</xdr:rowOff>
    </xdr:from>
    <xdr:to>
      <xdr:col>4</xdr:col>
      <xdr:colOff>1146175</xdr:colOff>
      <xdr:row>4</xdr:row>
      <xdr:rowOff>520700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02FD3B-CD43-8EE4-B9FD-4750A65FA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1266825</xdr:colOff>
      <xdr:row>0</xdr:row>
      <xdr:rowOff>0</xdr:rowOff>
    </xdr:from>
    <xdr:to>
      <xdr:col>4</xdr:col>
      <xdr:colOff>1146175</xdr:colOff>
      <xdr:row>4</xdr:row>
      <xdr:rowOff>520700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5FB5FD-31E6-D77C-D262-3CFDE5329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8547df-f448-474c-a41a-4b776574382d}">
  <we:reference id="WA200009404" version="1.0.0.8" store="en-US" storeType="OMEX"/>
  <we:alternateReferences/>
  <we:properties>
    <we:property name="Microsoft.Office.CampaignId" value="&quot;none&quot;"/>
    <we:property name="claude.fileId" value="&quot;549c9394-6cf5-4d95-9f5a-35c4a45a35a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sheetPr>
    <tabColor rgb="FF1B4332"/>
  </sheetPr>
  <dimension ref="A1:H37"/>
  <sheetViews>
    <sheetView zoomScaleNormal="100" workbookViewId="0">
      <selection activeCell="P25" sqref="P25"/>
    </sheetView>
  </sheetViews>
  <sheetFormatPr defaultColWidth="10.625" defaultRowHeight="15.75" x14ac:dyDescent="0.25"/>
  <cols>
    <col min="1" max="1" width="36.625" customWidth="1"/>
    <col min="2" max="2" width="16.625" customWidth="1"/>
    <col min="3" max="3" width="30" customWidth="1"/>
    <col min="4" max="4" width="31.625" customWidth="1"/>
    <col min="5" max="5" width="56.625" customWidth="1"/>
    <col min="6" max="6" width="10" customWidth="1"/>
    <col min="7" max="7" width="31.625" customWidth="1"/>
    <col min="8" max="8" width="10" customWidth="1"/>
  </cols>
  <sheetData>
    <row r="1" spans="1:8" ht="36" customHeight="1" x14ac:dyDescent="0.35">
      <c r="A1" s="16" t="s">
        <v>943</v>
      </c>
    </row>
    <row r="2" spans="1:8" ht="21.95" customHeight="1" x14ac:dyDescent="0.25">
      <c r="A2" s="17" t="s">
        <v>944</v>
      </c>
    </row>
    <row r="3" spans="1:8" ht="9.9499999999999993" customHeight="1" x14ac:dyDescent="0.25"/>
    <row r="4" spans="1:8" ht="21.95" customHeight="1" x14ac:dyDescent="0.3">
      <c r="A4" s="18" t="s">
        <v>945</v>
      </c>
      <c r="D4" s="18" t="s">
        <v>957</v>
      </c>
      <c r="G4" s="18" t="s">
        <v>959</v>
      </c>
    </row>
    <row r="5" spans="1:8" ht="20.100000000000001" customHeight="1" x14ac:dyDescent="0.4">
      <c r="A5" s="36" t="s">
        <v>946</v>
      </c>
      <c r="B5" s="43">
        <f>COUNTA('Supplier Targets'!A2:A1000)</f>
        <v>134</v>
      </c>
      <c r="D5" s="20" t="s">
        <v>301</v>
      </c>
      <c r="E5" s="21">
        <f>COUNTIF('Supplier Targets'!B2:B1000,"Circular Economy / Waste")</f>
        <v>26</v>
      </c>
      <c r="G5" s="22" t="s">
        <v>788</v>
      </c>
      <c r="H5" s="21">
        <f>COUNTIF('Decision Maker Roles'!B2:B1000,"Design Authorities")</f>
        <v>6</v>
      </c>
    </row>
    <row r="6" spans="1:8" ht="20.100000000000001" customHeight="1" x14ac:dyDescent="0.25">
      <c r="A6" s="37" t="s">
        <v>947</v>
      </c>
      <c r="B6" s="38">
        <f>COUNTIF('Supplier Targets'!G2:G1000,"yes")</f>
        <v>28</v>
      </c>
      <c r="D6" s="20" t="s">
        <v>11</v>
      </c>
      <c r="E6" s="21">
        <f>COUNTIF('Supplier Targets'!B2:B1000,"Concrete / Cement")</f>
        <v>20</v>
      </c>
      <c r="G6" s="23" t="s">
        <v>813</v>
      </c>
      <c r="H6" s="21">
        <f>COUNTIF('Decision Maker Roles'!B2:B1000,"Financial Gatekeepers")</f>
        <v>5</v>
      </c>
    </row>
    <row r="7" spans="1:8" ht="20.100000000000001" customHeight="1" x14ac:dyDescent="0.25">
      <c r="A7" s="37" t="s">
        <v>948</v>
      </c>
      <c r="B7" s="38">
        <f>COUNTIF('Supplier Targets'!H2:H1000,"high")</f>
        <v>57</v>
      </c>
      <c r="D7" s="20" t="s">
        <v>176</v>
      </c>
      <c r="E7" s="21">
        <f>COUNTIF('Supplier Targets'!B2:B1000,"Wood / Timber")</f>
        <v>14</v>
      </c>
      <c r="G7" s="24" t="s">
        <v>834</v>
      </c>
      <c r="H7" s="21">
        <f>COUNTIF('Decision Maker Roles'!B2:B1000,"Execution Tier")</f>
        <v>6</v>
      </c>
    </row>
    <row r="8" spans="1:8" ht="20.100000000000001" customHeight="1" x14ac:dyDescent="0.25">
      <c r="A8" s="37" t="s">
        <v>949</v>
      </c>
      <c r="B8" s="39">
        <f>COUNTIF('Supplier Targets'!H2:H1000,"medium")</f>
        <v>60</v>
      </c>
      <c r="D8" s="20" t="s">
        <v>126</v>
      </c>
      <c r="E8" s="21">
        <f>COUNTIF('Supplier Targets'!B2:B1000,"Mass Timber")</f>
        <v>10</v>
      </c>
      <c r="G8" s="25" t="s">
        <v>859</v>
      </c>
      <c r="H8" s="21">
        <f>COUNTIF('Decision Maker Roles'!B2:B1000,"Operational Stewards")</f>
        <v>4</v>
      </c>
    </row>
    <row r="9" spans="1:8" ht="20.100000000000001" customHeight="1" x14ac:dyDescent="0.25">
      <c r="A9" s="40" t="s">
        <v>950</v>
      </c>
      <c r="B9" s="41">
        <f>COUNTIF('Supplier Targets'!H2:H1000,"low")</f>
        <v>17</v>
      </c>
      <c r="D9" s="20" t="s">
        <v>228</v>
      </c>
      <c r="E9" s="21">
        <f>COUNTIF('Supplier Targets'!B2:B1000,"Insulation / Bio-Based")</f>
        <v>9</v>
      </c>
      <c r="G9" s="26" t="s">
        <v>875</v>
      </c>
      <c r="H9" s="21">
        <f>COUNTIF('Decision Maker Roles'!B2:B1000,"Strategic Leadership")</f>
        <v>4</v>
      </c>
    </row>
    <row r="10" spans="1:8" ht="20.100000000000001" customHeight="1" x14ac:dyDescent="0.25">
      <c r="D10" s="20" t="s">
        <v>473</v>
      </c>
      <c r="E10" s="21">
        <f>COUNTIF('Supplier Targets'!B2:B1000,"Insulation")</f>
        <v>10</v>
      </c>
      <c r="G10" s="27" t="s">
        <v>891</v>
      </c>
      <c r="H10" s="21">
        <f>COUNTIF('Decision Maker Roles'!B2:B1000,"Sector Verticals")</f>
        <v>8</v>
      </c>
    </row>
    <row r="11" spans="1:8" ht="20.100000000000001" customHeight="1" x14ac:dyDescent="0.3">
      <c r="A11" s="18" t="s">
        <v>951</v>
      </c>
      <c r="D11" s="20" t="s">
        <v>420</v>
      </c>
      <c r="E11" s="21">
        <f>COUNTIF('Supplier Targets'!B2:B1000,"Mycelium / Bio-Fabrication")</f>
        <v>10</v>
      </c>
      <c r="G11" s="28" t="s">
        <v>923</v>
      </c>
      <c r="H11" s="21">
        <f>COUNTIF('Decision Maker Roles'!B2:B1000,"Supply Chain")</f>
        <v>5</v>
      </c>
    </row>
    <row r="12" spans="1:8" ht="20.100000000000001" customHeight="1" x14ac:dyDescent="0.4">
      <c r="A12" s="36" t="s">
        <v>952</v>
      </c>
      <c r="B12" s="43">
        <f>COUNTA('Decision Maker Roles'!A2:A1000)</f>
        <v>38</v>
      </c>
      <c r="D12" s="20" t="s">
        <v>520</v>
      </c>
      <c r="E12" s="21">
        <f>COUNTIF('Supplier Targets'!B2:B1000,"Glazing / Windows")</f>
        <v>5</v>
      </c>
    </row>
    <row r="13" spans="1:8" ht="20.100000000000001" customHeight="1" x14ac:dyDescent="0.25">
      <c r="A13" s="37" t="s">
        <v>953</v>
      </c>
      <c r="B13" s="38">
        <f>COUNTIF('Decision Maker Roles'!G2:G1000,"yes")</f>
        <v>13</v>
      </c>
      <c r="D13" s="20" t="s">
        <v>642</v>
      </c>
      <c r="E13" s="21">
        <f>COUNTIF('Supplier Targets'!B2:B1000,"Glazing / Curtain Wall")</f>
        <v>4</v>
      </c>
    </row>
    <row r="14" spans="1:8" ht="20.100000000000001" customHeight="1" x14ac:dyDescent="0.25">
      <c r="A14" s="40" t="s">
        <v>954</v>
      </c>
      <c r="B14" s="42">
        <f>COUNTIF('Decision Maker Roles'!F2:F1000,"high")</f>
        <v>19</v>
      </c>
      <c r="D14" s="20" t="s">
        <v>615</v>
      </c>
      <c r="E14" s="21">
        <f>COUNTIF('Supplier Targets'!B2:B1000,"Acoustic / Lighting")</f>
        <v>5</v>
      </c>
    </row>
    <row r="15" spans="1:8" ht="20.100000000000001" customHeight="1" x14ac:dyDescent="0.25">
      <c r="D15" s="20" t="s">
        <v>586</v>
      </c>
      <c r="E15" s="21">
        <f>COUNTIF('Supplier Targets'!B2:B1000,"Marine / Algae Materials")</f>
        <v>5</v>
      </c>
    </row>
    <row r="16" spans="1:8" ht="20.100000000000001" customHeight="1" x14ac:dyDescent="0.3">
      <c r="A16" s="18" t="s">
        <v>955</v>
      </c>
      <c r="D16" s="20" t="s">
        <v>554</v>
      </c>
      <c r="E16" s="21">
        <f>COUNTIF('Supplier Targets'!B2:B1000,"Biophilic / Living Systems")</f>
        <v>6</v>
      </c>
    </row>
    <row r="17" spans="1:8" ht="20.100000000000001" customHeight="1" x14ac:dyDescent="0.4">
      <c r="A17" s="19" t="s">
        <v>956</v>
      </c>
      <c r="B17" s="44">
        <f>COUNTA('Target Firms'!A2:A1000)</f>
        <v>14</v>
      </c>
      <c r="D17" s="20" t="s">
        <v>958</v>
      </c>
      <c r="E17" s="21">
        <f>B5-SUM(E5:E16)</f>
        <v>10</v>
      </c>
    </row>
    <row r="18" spans="1:8" ht="20.100000000000001" customHeight="1" x14ac:dyDescent="0.25"/>
    <row r="19" spans="1:8" ht="9.9499999999999993" customHeight="1" x14ac:dyDescent="0.25"/>
    <row r="20" spans="1:8" ht="21.95" customHeight="1" x14ac:dyDescent="0.3">
      <c r="A20" s="18" t="s">
        <v>960</v>
      </c>
    </row>
    <row r="21" spans="1:8" ht="20.100000000000001" customHeight="1" x14ac:dyDescent="0.25">
      <c r="A21" s="29" t="s">
        <v>961</v>
      </c>
      <c r="B21" s="29" t="s">
        <v>962</v>
      </c>
      <c r="C21" s="29" t="s">
        <v>1</v>
      </c>
      <c r="D21" s="29" t="s">
        <v>963</v>
      </c>
      <c r="E21" s="29" t="s">
        <v>964</v>
      </c>
    </row>
    <row r="22" spans="1:8" ht="20.100000000000001" customHeight="1" x14ac:dyDescent="0.25">
      <c r="A22" s="30" t="s">
        <v>965</v>
      </c>
      <c r="B22" s="20" t="s">
        <v>10</v>
      </c>
      <c r="C22" s="20" t="s">
        <v>12</v>
      </c>
      <c r="D22" s="20" t="s">
        <v>966</v>
      </c>
      <c r="E22" s="20" t="s">
        <v>362</v>
      </c>
    </row>
    <row r="23" spans="1:8" ht="20.100000000000001" customHeight="1" x14ac:dyDescent="0.25">
      <c r="A23" s="30" t="s">
        <v>965</v>
      </c>
      <c r="B23" s="20" t="s">
        <v>132</v>
      </c>
      <c r="C23" s="20" t="s">
        <v>967</v>
      </c>
      <c r="D23" s="20" t="s">
        <v>968</v>
      </c>
      <c r="E23" s="31" t="s">
        <v>969</v>
      </c>
    </row>
    <row r="24" spans="1:8" ht="20.100000000000001" customHeight="1" x14ac:dyDescent="0.25">
      <c r="A24" s="30" t="s">
        <v>965</v>
      </c>
      <c r="B24" s="20" t="s">
        <v>227</v>
      </c>
      <c r="C24" s="20" t="s">
        <v>970</v>
      </c>
      <c r="D24" s="20" t="s">
        <v>971</v>
      </c>
      <c r="E24" s="20" t="s">
        <v>362</v>
      </c>
    </row>
    <row r="25" spans="1:8" ht="20.100000000000001" customHeight="1" x14ac:dyDescent="0.25">
      <c r="A25" s="30" t="s">
        <v>965</v>
      </c>
      <c r="B25" s="20" t="s">
        <v>339</v>
      </c>
      <c r="C25" s="20" t="s">
        <v>340</v>
      </c>
      <c r="D25" s="20" t="s">
        <v>972</v>
      </c>
      <c r="E25" s="20" t="s">
        <v>362</v>
      </c>
    </row>
    <row r="26" spans="1:8" ht="20.100000000000001" customHeight="1" x14ac:dyDescent="0.25">
      <c r="A26" s="30" t="s">
        <v>965</v>
      </c>
      <c r="B26" s="20" t="s">
        <v>472</v>
      </c>
      <c r="C26" s="20" t="s">
        <v>474</v>
      </c>
      <c r="D26" s="20" t="s">
        <v>973</v>
      </c>
      <c r="E26" s="20" t="s">
        <v>362</v>
      </c>
    </row>
    <row r="27" spans="1:8" ht="20.100000000000001" customHeight="1" x14ac:dyDescent="0.25"/>
    <row r="28" spans="1:8" ht="20.100000000000001" customHeight="1" x14ac:dyDescent="0.25">
      <c r="A28" s="32" t="s">
        <v>974</v>
      </c>
    </row>
    <row r="29" spans="1:8" ht="39.950000000000003" customHeight="1" x14ac:dyDescent="0.25">
      <c r="A29" s="33" t="s">
        <v>975</v>
      </c>
      <c r="B29" s="34"/>
      <c r="C29" s="34"/>
      <c r="D29" s="34"/>
      <c r="E29" s="34"/>
      <c r="F29" s="34"/>
      <c r="G29" s="34"/>
      <c r="H29" s="34"/>
    </row>
    <row r="30" spans="1:8" ht="39.950000000000003" customHeight="1" x14ac:dyDescent="0.25">
      <c r="A30" s="35" t="s">
        <v>976</v>
      </c>
      <c r="B30" s="34"/>
      <c r="C30" s="34"/>
      <c r="D30" s="34"/>
      <c r="E30" s="34"/>
      <c r="F30" s="34"/>
      <c r="G30" s="34"/>
      <c r="H30" s="34"/>
    </row>
    <row r="37" spans="4:4" x14ac:dyDescent="0.25">
      <c r="D37" s="45" t="s">
        <v>982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DAE8B-777B-4A96-912F-C2CEF9EB806B}">
  <sheetPr>
    <tabColor rgb="FF52B788"/>
  </sheetPr>
  <dimension ref="A1:J39"/>
  <sheetViews>
    <sheetView workbookViewId="0">
      <pane ySplit="1" topLeftCell="A23" activePane="bottomLeft" state="frozen"/>
      <selection pane="bottomLeft" activeCell="D1" sqref="D1"/>
    </sheetView>
  </sheetViews>
  <sheetFormatPr defaultRowHeight="15.75" x14ac:dyDescent="0.25"/>
  <cols>
    <col min="1" max="1" width="36.625" customWidth="1"/>
    <col min="2" max="2" width="23.375" customWidth="1"/>
    <col min="3" max="3" width="30" customWidth="1"/>
    <col min="4" max="4" width="50" customWidth="1"/>
    <col min="5" max="5" width="56.625" customWidth="1"/>
    <col min="6" max="6" width="16.625" customWidth="1"/>
    <col min="7" max="7" width="15" customWidth="1"/>
    <col min="9" max="10" width="26.625" customWidth="1"/>
  </cols>
  <sheetData>
    <row r="1" spans="1:10" ht="24" customHeight="1" x14ac:dyDescent="0.25">
      <c r="A1" s="6" t="s">
        <v>780</v>
      </c>
      <c r="B1" s="6" t="s">
        <v>781</v>
      </c>
      <c r="C1" s="6" t="s">
        <v>782</v>
      </c>
      <c r="D1" s="6" t="s">
        <v>783</v>
      </c>
      <c r="E1" s="6" t="s">
        <v>784</v>
      </c>
      <c r="F1" s="6" t="s">
        <v>785</v>
      </c>
      <c r="G1" s="6" t="s">
        <v>786</v>
      </c>
      <c r="I1" s="1" t="s">
        <v>781</v>
      </c>
      <c r="J1" s="1" t="s">
        <v>977</v>
      </c>
    </row>
    <row r="2" spans="1:10" ht="25.5" x14ac:dyDescent="0.25">
      <c r="A2" s="7" t="s">
        <v>787</v>
      </c>
      <c r="B2" s="9" t="s">
        <v>788</v>
      </c>
      <c r="C2" s="3" t="s">
        <v>789</v>
      </c>
      <c r="D2" s="3" t="s">
        <v>790</v>
      </c>
      <c r="E2" s="3" t="s">
        <v>791</v>
      </c>
      <c r="F2" s="3" t="s">
        <v>16</v>
      </c>
      <c r="G2" s="3" t="s">
        <v>792</v>
      </c>
      <c r="I2" t="s">
        <v>788</v>
      </c>
      <c r="J2">
        <v>6</v>
      </c>
    </row>
    <row r="3" spans="1:10" ht="25.5" x14ac:dyDescent="0.25">
      <c r="A3" s="8" t="s">
        <v>793</v>
      </c>
      <c r="B3" s="9" t="s">
        <v>788</v>
      </c>
      <c r="C3" s="4" t="s">
        <v>789</v>
      </c>
      <c r="D3" s="4" t="s">
        <v>794</v>
      </c>
      <c r="E3" s="4" t="s">
        <v>795</v>
      </c>
      <c r="F3" s="4" t="s">
        <v>16</v>
      </c>
      <c r="G3" s="4" t="s">
        <v>792</v>
      </c>
      <c r="I3" t="s">
        <v>813</v>
      </c>
      <c r="J3">
        <v>5</v>
      </c>
    </row>
    <row r="4" spans="1:10" ht="25.5" x14ac:dyDescent="0.25">
      <c r="A4" s="7" t="s">
        <v>796</v>
      </c>
      <c r="B4" s="9" t="s">
        <v>788</v>
      </c>
      <c r="C4" s="3" t="s">
        <v>797</v>
      </c>
      <c r="D4" s="3" t="s">
        <v>798</v>
      </c>
      <c r="E4" s="3" t="s">
        <v>799</v>
      </c>
      <c r="F4" s="3" t="s">
        <v>16</v>
      </c>
      <c r="G4" s="3" t="s">
        <v>118</v>
      </c>
      <c r="I4" t="s">
        <v>834</v>
      </c>
      <c r="J4">
        <v>6</v>
      </c>
    </row>
    <row r="5" spans="1:10" ht="25.5" x14ac:dyDescent="0.25">
      <c r="A5" s="8" t="s">
        <v>800</v>
      </c>
      <c r="B5" s="9" t="s">
        <v>788</v>
      </c>
      <c r="C5" s="4" t="s">
        <v>801</v>
      </c>
      <c r="D5" s="4" t="s">
        <v>802</v>
      </c>
      <c r="E5" s="4" t="s">
        <v>803</v>
      </c>
      <c r="F5" s="4" t="s">
        <v>16</v>
      </c>
      <c r="G5" s="4" t="s">
        <v>792</v>
      </c>
      <c r="I5" t="s">
        <v>859</v>
      </c>
      <c r="J5">
        <v>4</v>
      </c>
    </row>
    <row r="6" spans="1:10" ht="38.25" x14ac:dyDescent="0.25">
      <c r="A6" s="7" t="s">
        <v>804</v>
      </c>
      <c r="B6" s="9" t="s">
        <v>788</v>
      </c>
      <c r="C6" s="3" t="s">
        <v>805</v>
      </c>
      <c r="D6" s="3" t="s">
        <v>806</v>
      </c>
      <c r="E6" s="3" t="s">
        <v>807</v>
      </c>
      <c r="F6" s="3" t="s">
        <v>16</v>
      </c>
      <c r="G6" s="3" t="s">
        <v>792</v>
      </c>
      <c r="I6" t="s">
        <v>875</v>
      </c>
      <c r="J6">
        <v>4</v>
      </c>
    </row>
    <row r="7" spans="1:10" ht="38.25" x14ac:dyDescent="0.25">
      <c r="A7" s="8" t="s">
        <v>808</v>
      </c>
      <c r="B7" s="9" t="s">
        <v>788</v>
      </c>
      <c r="C7" s="4" t="s">
        <v>809</v>
      </c>
      <c r="D7" s="4" t="s">
        <v>810</v>
      </c>
      <c r="E7" s="4" t="s">
        <v>811</v>
      </c>
      <c r="F7" s="4" t="s">
        <v>43</v>
      </c>
      <c r="G7" s="4" t="s">
        <v>118</v>
      </c>
      <c r="I7" t="s">
        <v>891</v>
      </c>
      <c r="J7">
        <v>8</v>
      </c>
    </row>
    <row r="8" spans="1:10" ht="25.5" x14ac:dyDescent="0.25">
      <c r="A8" s="7" t="s">
        <v>812</v>
      </c>
      <c r="B8" s="10" t="s">
        <v>813</v>
      </c>
      <c r="C8" s="3" t="s">
        <v>814</v>
      </c>
      <c r="D8" s="3" t="s">
        <v>815</v>
      </c>
      <c r="E8" s="3" t="s">
        <v>816</v>
      </c>
      <c r="F8" s="3" t="s">
        <v>16</v>
      </c>
      <c r="G8" s="3" t="s">
        <v>792</v>
      </c>
      <c r="I8" t="s">
        <v>923</v>
      </c>
      <c r="J8">
        <v>5</v>
      </c>
    </row>
    <row r="9" spans="1:10" ht="25.5" x14ac:dyDescent="0.25">
      <c r="A9" s="8" t="s">
        <v>817</v>
      </c>
      <c r="B9" s="10" t="s">
        <v>813</v>
      </c>
      <c r="C9" s="4" t="s">
        <v>818</v>
      </c>
      <c r="D9" s="4" t="s">
        <v>819</v>
      </c>
      <c r="E9" s="4" t="s">
        <v>820</v>
      </c>
      <c r="F9" s="4" t="s">
        <v>43</v>
      </c>
      <c r="G9" s="4" t="s">
        <v>118</v>
      </c>
    </row>
    <row r="10" spans="1:10" ht="38.25" x14ac:dyDescent="0.25">
      <c r="A10" s="7" t="s">
        <v>821</v>
      </c>
      <c r="B10" s="10" t="s">
        <v>813</v>
      </c>
      <c r="C10" s="3" t="s">
        <v>822</v>
      </c>
      <c r="D10" s="3" t="s">
        <v>823</v>
      </c>
      <c r="E10" s="3" t="s">
        <v>824</v>
      </c>
      <c r="F10" s="3" t="s">
        <v>43</v>
      </c>
      <c r="G10" s="3" t="s">
        <v>118</v>
      </c>
    </row>
    <row r="11" spans="1:10" ht="25.5" x14ac:dyDescent="0.25">
      <c r="A11" s="8" t="s">
        <v>825</v>
      </c>
      <c r="B11" s="10" t="s">
        <v>813</v>
      </c>
      <c r="C11" s="4" t="s">
        <v>826</v>
      </c>
      <c r="D11" s="4" t="s">
        <v>827</v>
      </c>
      <c r="E11" s="4" t="s">
        <v>828</v>
      </c>
      <c r="F11" s="4" t="s">
        <v>16</v>
      </c>
      <c r="G11" s="4" t="s">
        <v>792</v>
      </c>
    </row>
    <row r="12" spans="1:10" ht="25.5" x14ac:dyDescent="0.25">
      <c r="A12" s="7" t="s">
        <v>829</v>
      </c>
      <c r="B12" s="10" t="s">
        <v>813</v>
      </c>
      <c r="C12" s="3" t="s">
        <v>830</v>
      </c>
      <c r="D12" s="3" t="s">
        <v>831</v>
      </c>
      <c r="E12" s="3" t="s">
        <v>832</v>
      </c>
      <c r="F12" s="3" t="s">
        <v>289</v>
      </c>
      <c r="G12" s="3" t="s">
        <v>792</v>
      </c>
    </row>
    <row r="13" spans="1:10" ht="25.5" x14ac:dyDescent="0.25">
      <c r="A13" s="8" t="s">
        <v>833</v>
      </c>
      <c r="B13" s="11" t="s">
        <v>834</v>
      </c>
      <c r="C13" s="4" t="s">
        <v>835</v>
      </c>
      <c r="D13" s="4" t="s">
        <v>836</v>
      </c>
      <c r="E13" s="4" t="s">
        <v>837</v>
      </c>
      <c r="F13" s="4" t="s">
        <v>16</v>
      </c>
      <c r="G13" s="4" t="s">
        <v>792</v>
      </c>
    </row>
    <row r="14" spans="1:10" ht="25.5" x14ac:dyDescent="0.25">
      <c r="A14" s="7" t="s">
        <v>838</v>
      </c>
      <c r="B14" s="11" t="s">
        <v>834</v>
      </c>
      <c r="C14" s="3" t="s">
        <v>839</v>
      </c>
      <c r="D14" s="3" t="s">
        <v>840</v>
      </c>
      <c r="E14" s="3" t="s">
        <v>841</v>
      </c>
      <c r="F14" s="3" t="s">
        <v>16</v>
      </c>
      <c r="G14" s="3" t="s">
        <v>118</v>
      </c>
    </row>
    <row r="15" spans="1:10" ht="25.5" x14ac:dyDescent="0.25">
      <c r="A15" s="8" t="s">
        <v>842</v>
      </c>
      <c r="B15" s="11" t="s">
        <v>834</v>
      </c>
      <c r="C15" s="4" t="s">
        <v>843</v>
      </c>
      <c r="D15" s="4" t="s">
        <v>844</v>
      </c>
      <c r="E15" s="4" t="s">
        <v>845</v>
      </c>
      <c r="F15" s="4" t="s">
        <v>16</v>
      </c>
      <c r="G15" s="4" t="s">
        <v>118</v>
      </c>
    </row>
    <row r="16" spans="1:10" ht="25.5" x14ac:dyDescent="0.25">
      <c r="A16" s="7" t="s">
        <v>846</v>
      </c>
      <c r="B16" s="11" t="s">
        <v>834</v>
      </c>
      <c r="C16" s="3" t="s">
        <v>847</v>
      </c>
      <c r="D16" s="3" t="s">
        <v>848</v>
      </c>
      <c r="E16" s="3" t="s">
        <v>849</v>
      </c>
      <c r="F16" s="3" t="s">
        <v>16</v>
      </c>
      <c r="G16" s="3" t="s">
        <v>118</v>
      </c>
    </row>
    <row r="17" spans="1:7" ht="25.5" x14ac:dyDescent="0.25">
      <c r="A17" s="8" t="s">
        <v>850</v>
      </c>
      <c r="B17" s="11" t="s">
        <v>834</v>
      </c>
      <c r="C17" s="4" t="s">
        <v>851</v>
      </c>
      <c r="D17" s="4" t="s">
        <v>852</v>
      </c>
      <c r="E17" s="4" t="s">
        <v>853</v>
      </c>
      <c r="F17" s="4" t="s">
        <v>16</v>
      </c>
      <c r="G17" s="4" t="s">
        <v>792</v>
      </c>
    </row>
    <row r="18" spans="1:7" ht="25.5" x14ac:dyDescent="0.25">
      <c r="A18" s="7" t="s">
        <v>854</v>
      </c>
      <c r="B18" s="11" t="s">
        <v>834</v>
      </c>
      <c r="C18" s="3" t="s">
        <v>855</v>
      </c>
      <c r="D18" s="3" t="s">
        <v>856</v>
      </c>
      <c r="E18" s="3" t="s">
        <v>857</v>
      </c>
      <c r="F18" s="3" t="s">
        <v>43</v>
      </c>
      <c r="G18" s="3" t="s">
        <v>118</v>
      </c>
    </row>
    <row r="19" spans="1:7" ht="25.5" x14ac:dyDescent="0.25">
      <c r="A19" s="8" t="s">
        <v>858</v>
      </c>
      <c r="B19" s="12" t="s">
        <v>859</v>
      </c>
      <c r="C19" s="4" t="s">
        <v>860</v>
      </c>
      <c r="D19" s="4" t="s">
        <v>861</v>
      </c>
      <c r="E19" s="4" t="s">
        <v>862</v>
      </c>
      <c r="F19" s="4" t="s">
        <v>16</v>
      </c>
      <c r="G19" s="4" t="s">
        <v>118</v>
      </c>
    </row>
    <row r="20" spans="1:7" ht="25.5" x14ac:dyDescent="0.25">
      <c r="A20" s="7" t="s">
        <v>770</v>
      </c>
      <c r="B20" s="12" t="s">
        <v>859</v>
      </c>
      <c r="C20" s="3" t="s">
        <v>863</v>
      </c>
      <c r="D20" s="3" t="s">
        <v>864</v>
      </c>
      <c r="E20" s="3" t="s">
        <v>865</v>
      </c>
      <c r="F20" s="3" t="s">
        <v>43</v>
      </c>
      <c r="G20" s="3" t="s">
        <v>792</v>
      </c>
    </row>
    <row r="21" spans="1:7" ht="38.25" x14ac:dyDescent="0.25">
      <c r="A21" s="8" t="s">
        <v>866</v>
      </c>
      <c r="B21" s="12" t="s">
        <v>859</v>
      </c>
      <c r="C21" s="4" t="s">
        <v>867</v>
      </c>
      <c r="D21" s="4" t="s">
        <v>868</v>
      </c>
      <c r="E21" s="4" t="s">
        <v>869</v>
      </c>
      <c r="F21" s="4" t="s">
        <v>43</v>
      </c>
      <c r="G21" s="4" t="s">
        <v>118</v>
      </c>
    </row>
    <row r="22" spans="1:7" ht="38.25" x14ac:dyDescent="0.25">
      <c r="A22" s="7" t="s">
        <v>870</v>
      </c>
      <c r="B22" s="12" t="s">
        <v>859</v>
      </c>
      <c r="C22" s="3" t="s">
        <v>871</v>
      </c>
      <c r="D22" s="3" t="s">
        <v>872</v>
      </c>
      <c r="E22" s="3" t="s">
        <v>873</v>
      </c>
      <c r="F22" s="3" t="s">
        <v>289</v>
      </c>
      <c r="G22" s="3" t="s">
        <v>118</v>
      </c>
    </row>
    <row r="23" spans="1:7" ht="25.5" x14ac:dyDescent="0.25">
      <c r="A23" s="8" t="s">
        <v>874</v>
      </c>
      <c r="B23" s="13" t="s">
        <v>875</v>
      </c>
      <c r="C23" s="4" t="s">
        <v>876</v>
      </c>
      <c r="D23" s="4" t="s">
        <v>877</v>
      </c>
      <c r="E23" s="4" t="s">
        <v>878</v>
      </c>
      <c r="F23" s="4" t="s">
        <v>16</v>
      </c>
      <c r="G23" s="4" t="s">
        <v>792</v>
      </c>
    </row>
    <row r="24" spans="1:7" ht="25.5" x14ac:dyDescent="0.25">
      <c r="A24" s="7" t="s">
        <v>766</v>
      </c>
      <c r="B24" s="13" t="s">
        <v>875</v>
      </c>
      <c r="C24" s="3" t="s">
        <v>879</v>
      </c>
      <c r="D24" s="3" t="s">
        <v>880</v>
      </c>
      <c r="E24" s="3" t="s">
        <v>881</v>
      </c>
      <c r="F24" s="3" t="s">
        <v>43</v>
      </c>
      <c r="G24" s="3" t="s">
        <v>792</v>
      </c>
    </row>
    <row r="25" spans="1:7" ht="25.5" x14ac:dyDescent="0.25">
      <c r="A25" s="8" t="s">
        <v>882</v>
      </c>
      <c r="B25" s="13" t="s">
        <v>875</v>
      </c>
      <c r="C25" s="4" t="s">
        <v>883</v>
      </c>
      <c r="D25" s="4" t="s">
        <v>884</v>
      </c>
      <c r="E25" s="4" t="s">
        <v>885</v>
      </c>
      <c r="F25" s="4" t="s">
        <v>16</v>
      </c>
      <c r="G25" s="4" t="s">
        <v>792</v>
      </c>
    </row>
    <row r="26" spans="1:7" ht="38.25" x14ac:dyDescent="0.25">
      <c r="A26" s="7" t="s">
        <v>886</v>
      </c>
      <c r="B26" s="13" t="s">
        <v>875</v>
      </c>
      <c r="C26" s="3" t="s">
        <v>887</v>
      </c>
      <c r="D26" s="3" t="s">
        <v>888</v>
      </c>
      <c r="E26" s="3" t="s">
        <v>889</v>
      </c>
      <c r="F26" s="3" t="s">
        <v>43</v>
      </c>
      <c r="G26" s="3" t="s">
        <v>792</v>
      </c>
    </row>
    <row r="27" spans="1:7" ht="38.25" x14ac:dyDescent="0.25">
      <c r="A27" s="8" t="s">
        <v>890</v>
      </c>
      <c r="B27" s="14" t="s">
        <v>891</v>
      </c>
      <c r="C27" s="4" t="s">
        <v>892</v>
      </c>
      <c r="D27" s="4" t="s">
        <v>893</v>
      </c>
      <c r="E27" s="4" t="s">
        <v>894</v>
      </c>
      <c r="F27" s="4" t="s">
        <v>16</v>
      </c>
      <c r="G27" s="4" t="s">
        <v>118</v>
      </c>
    </row>
    <row r="28" spans="1:7" ht="25.5" x14ac:dyDescent="0.25">
      <c r="A28" s="7" t="s">
        <v>895</v>
      </c>
      <c r="B28" s="14" t="s">
        <v>891</v>
      </c>
      <c r="C28" s="3" t="s">
        <v>896</v>
      </c>
      <c r="D28" s="3" t="s">
        <v>897</v>
      </c>
      <c r="E28" s="3" t="s">
        <v>898</v>
      </c>
      <c r="F28" s="3" t="s">
        <v>43</v>
      </c>
      <c r="G28" s="3" t="s">
        <v>792</v>
      </c>
    </row>
    <row r="29" spans="1:7" ht="25.5" x14ac:dyDescent="0.25">
      <c r="A29" s="8" t="s">
        <v>743</v>
      </c>
      <c r="B29" s="14" t="s">
        <v>891</v>
      </c>
      <c r="C29" s="4" t="s">
        <v>899</v>
      </c>
      <c r="D29" s="4" t="s">
        <v>900</v>
      </c>
      <c r="E29" s="4" t="s">
        <v>901</v>
      </c>
      <c r="F29" s="4" t="s">
        <v>16</v>
      </c>
      <c r="G29" s="4" t="s">
        <v>792</v>
      </c>
    </row>
    <row r="30" spans="1:7" ht="25.5" x14ac:dyDescent="0.25">
      <c r="A30" s="7" t="s">
        <v>902</v>
      </c>
      <c r="B30" s="14" t="s">
        <v>891</v>
      </c>
      <c r="C30" s="3" t="s">
        <v>903</v>
      </c>
      <c r="D30" s="3" t="s">
        <v>904</v>
      </c>
      <c r="E30" s="3" t="s">
        <v>905</v>
      </c>
      <c r="F30" s="3" t="s">
        <v>16</v>
      </c>
      <c r="G30" s="3" t="s">
        <v>792</v>
      </c>
    </row>
    <row r="31" spans="1:7" ht="25.5" x14ac:dyDescent="0.25">
      <c r="A31" s="8" t="s">
        <v>906</v>
      </c>
      <c r="B31" s="14" t="s">
        <v>891</v>
      </c>
      <c r="C31" s="4" t="s">
        <v>907</v>
      </c>
      <c r="D31" s="4" t="s">
        <v>908</v>
      </c>
      <c r="E31" s="4" t="s">
        <v>909</v>
      </c>
      <c r="F31" s="4" t="s">
        <v>43</v>
      </c>
      <c r="G31" s="4" t="s">
        <v>792</v>
      </c>
    </row>
    <row r="32" spans="1:7" ht="25.5" x14ac:dyDescent="0.25">
      <c r="A32" s="7" t="s">
        <v>910</v>
      </c>
      <c r="B32" s="14" t="s">
        <v>891</v>
      </c>
      <c r="C32" s="3" t="s">
        <v>911</v>
      </c>
      <c r="D32" s="3" t="s">
        <v>912</v>
      </c>
      <c r="E32" s="3" t="s">
        <v>913</v>
      </c>
      <c r="F32" s="3" t="s">
        <v>43</v>
      </c>
      <c r="G32" s="3" t="s">
        <v>792</v>
      </c>
    </row>
    <row r="33" spans="1:7" ht="25.5" x14ac:dyDescent="0.25">
      <c r="A33" s="8" t="s">
        <v>914</v>
      </c>
      <c r="B33" s="14" t="s">
        <v>891</v>
      </c>
      <c r="C33" s="4" t="s">
        <v>915</v>
      </c>
      <c r="D33" s="4" t="s">
        <v>916</v>
      </c>
      <c r="E33" s="4" t="s">
        <v>917</v>
      </c>
      <c r="F33" s="4" t="s">
        <v>43</v>
      </c>
      <c r="G33" s="4" t="s">
        <v>792</v>
      </c>
    </row>
    <row r="34" spans="1:7" ht="25.5" x14ac:dyDescent="0.25">
      <c r="A34" s="7" t="s">
        <v>918</v>
      </c>
      <c r="B34" s="14" t="s">
        <v>891</v>
      </c>
      <c r="C34" s="3" t="s">
        <v>919</v>
      </c>
      <c r="D34" s="3" t="s">
        <v>920</v>
      </c>
      <c r="E34" s="3" t="s">
        <v>921</v>
      </c>
      <c r="F34" s="3" t="s">
        <v>43</v>
      </c>
      <c r="G34" s="3" t="s">
        <v>792</v>
      </c>
    </row>
    <row r="35" spans="1:7" ht="38.25" x14ac:dyDescent="0.25">
      <c r="A35" s="8" t="s">
        <v>922</v>
      </c>
      <c r="B35" s="15" t="s">
        <v>923</v>
      </c>
      <c r="C35" s="4" t="s">
        <v>924</v>
      </c>
      <c r="D35" s="4" t="s">
        <v>925</v>
      </c>
      <c r="E35" s="4" t="s">
        <v>926</v>
      </c>
      <c r="F35" s="4" t="s">
        <v>16</v>
      </c>
      <c r="G35" s="4" t="s">
        <v>792</v>
      </c>
    </row>
    <row r="36" spans="1:7" ht="25.5" x14ac:dyDescent="0.25">
      <c r="A36" s="7" t="s">
        <v>927</v>
      </c>
      <c r="B36" s="15" t="s">
        <v>923</v>
      </c>
      <c r="C36" s="3" t="s">
        <v>928</v>
      </c>
      <c r="D36" s="3" t="s">
        <v>929</v>
      </c>
      <c r="E36" s="3" t="s">
        <v>930</v>
      </c>
      <c r="F36" s="3" t="s">
        <v>43</v>
      </c>
      <c r="G36" s="3" t="s">
        <v>792</v>
      </c>
    </row>
    <row r="37" spans="1:7" ht="25.5" x14ac:dyDescent="0.25">
      <c r="A37" s="8" t="s">
        <v>931</v>
      </c>
      <c r="B37" s="15" t="s">
        <v>923</v>
      </c>
      <c r="C37" s="4" t="s">
        <v>932</v>
      </c>
      <c r="D37" s="4" t="s">
        <v>933</v>
      </c>
      <c r="E37" s="4" t="s">
        <v>934</v>
      </c>
      <c r="F37" s="4" t="s">
        <v>43</v>
      </c>
      <c r="G37" s="4" t="s">
        <v>792</v>
      </c>
    </row>
    <row r="38" spans="1:7" ht="25.5" x14ac:dyDescent="0.25">
      <c r="A38" s="7" t="s">
        <v>935</v>
      </c>
      <c r="B38" s="15" t="s">
        <v>923</v>
      </c>
      <c r="C38" s="3" t="s">
        <v>936</v>
      </c>
      <c r="D38" s="3" t="s">
        <v>937</v>
      </c>
      <c r="E38" s="3" t="s">
        <v>938</v>
      </c>
      <c r="F38" s="3" t="s">
        <v>289</v>
      </c>
      <c r="G38" s="3" t="s">
        <v>792</v>
      </c>
    </row>
    <row r="39" spans="1:7" ht="38.25" x14ac:dyDescent="0.25">
      <c r="A39" s="8" t="s">
        <v>939</v>
      </c>
      <c r="B39" s="15" t="s">
        <v>923</v>
      </c>
      <c r="C39" s="4" t="s">
        <v>940</v>
      </c>
      <c r="D39" s="4" t="s">
        <v>941</v>
      </c>
      <c r="E39" s="4" t="s">
        <v>942</v>
      </c>
      <c r="F39" s="4" t="s">
        <v>43</v>
      </c>
      <c r="G39" s="4" t="s">
        <v>118</v>
      </c>
    </row>
  </sheetData>
  <autoFilter ref="A1:G1" xr:uid="{D7CDAE8B-777B-4A96-912F-C2CEF9EB806B}"/>
  <conditionalFormatting sqref="F2:F39">
    <cfRule type="containsText" dxfId="3" priority="1" operator="containsText" text="high">
      <formula>NOT(ISERROR(SEARCH("high",F2)))</formula>
    </cfRule>
  </conditionalFormatting>
  <conditionalFormatting sqref="F2:F39">
    <cfRule type="containsText" dxfId="2" priority="2" operator="containsText" text="medium">
      <formula>NOT(ISERROR(SEARCH("medium",F2)))</formula>
    </cfRule>
  </conditionalFormatting>
  <conditionalFormatting sqref="F2:F39">
    <cfRule type="containsText" dxfId="1" priority="3" operator="containsText" text="low">
      <formula>NOT(ISERROR(SEARCH("low",F2)))</formula>
    </cfRule>
  </conditionalFormatting>
  <conditionalFormatting sqref="G2:G39">
    <cfRule type="containsText" dxfId="0" priority="4" operator="containsText" text="yes">
      <formula>NOT(ISERROR(SEARCH("yes",G2)))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EED6A-5452-4E9C-943C-7304E89632B1}">
  <sheetPr>
    <tabColor rgb="FF40916C"/>
  </sheetPr>
  <dimension ref="A1:D15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2" width="33.375" customWidth="1"/>
    <col min="3" max="3" width="50" customWidth="1"/>
    <col min="4" max="4" width="63.375" customWidth="1"/>
  </cols>
  <sheetData>
    <row r="1" spans="1:4" ht="24" customHeight="1" x14ac:dyDescent="0.25">
      <c r="A1" s="6" t="s">
        <v>728</v>
      </c>
      <c r="B1" s="6" t="s">
        <v>729</v>
      </c>
      <c r="C1" s="6" t="s">
        <v>730</v>
      </c>
      <c r="D1" s="6" t="s">
        <v>8</v>
      </c>
    </row>
    <row r="2" spans="1:4" ht="60" customHeight="1" x14ac:dyDescent="0.25">
      <c r="A2" s="3" t="s">
        <v>731</v>
      </c>
      <c r="B2" s="3" t="s">
        <v>732</v>
      </c>
      <c r="C2" s="3" t="s">
        <v>733</v>
      </c>
      <c r="D2" s="3" t="s">
        <v>734</v>
      </c>
    </row>
    <row r="3" spans="1:4" ht="60" customHeight="1" x14ac:dyDescent="0.25">
      <c r="A3" s="4" t="s">
        <v>735</v>
      </c>
      <c r="B3" s="4" t="s">
        <v>732</v>
      </c>
      <c r="C3" s="4" t="s">
        <v>733</v>
      </c>
      <c r="D3" s="4" t="s">
        <v>736</v>
      </c>
    </row>
    <row r="4" spans="1:4" ht="60" customHeight="1" x14ac:dyDescent="0.25">
      <c r="A4" s="3" t="s">
        <v>737</v>
      </c>
      <c r="B4" s="3" t="s">
        <v>738</v>
      </c>
      <c r="C4" s="3" t="s">
        <v>739</v>
      </c>
      <c r="D4" s="3" t="s">
        <v>740</v>
      </c>
    </row>
    <row r="5" spans="1:4" ht="60" customHeight="1" x14ac:dyDescent="0.25">
      <c r="A5" s="4" t="s">
        <v>741</v>
      </c>
      <c r="B5" s="4" t="s">
        <v>742</v>
      </c>
      <c r="C5" s="4" t="s">
        <v>743</v>
      </c>
      <c r="D5" s="4" t="s">
        <v>744</v>
      </c>
    </row>
    <row r="6" spans="1:4" ht="60" customHeight="1" x14ac:dyDescent="0.25">
      <c r="A6" s="3" t="s">
        <v>745</v>
      </c>
      <c r="B6" s="3" t="s">
        <v>742</v>
      </c>
      <c r="C6" s="3" t="s">
        <v>743</v>
      </c>
      <c r="D6" s="3" t="s">
        <v>746</v>
      </c>
    </row>
    <row r="7" spans="1:4" ht="60" customHeight="1" x14ac:dyDescent="0.25">
      <c r="A7" s="4" t="s">
        <v>747</v>
      </c>
      <c r="B7" s="4" t="s">
        <v>742</v>
      </c>
      <c r="C7" s="4" t="s">
        <v>743</v>
      </c>
      <c r="D7" s="4" t="s">
        <v>748</v>
      </c>
    </row>
    <row r="8" spans="1:4" ht="60" customHeight="1" x14ac:dyDescent="0.25">
      <c r="A8" s="3" t="s">
        <v>749</v>
      </c>
      <c r="B8" s="3" t="s">
        <v>750</v>
      </c>
      <c r="C8" s="3" t="s">
        <v>751</v>
      </c>
      <c r="D8" s="3" t="s">
        <v>752</v>
      </c>
    </row>
    <row r="9" spans="1:4" ht="60" customHeight="1" x14ac:dyDescent="0.25">
      <c r="A9" s="4" t="s">
        <v>753</v>
      </c>
      <c r="B9" s="4" t="s">
        <v>754</v>
      </c>
      <c r="C9" s="4" t="s">
        <v>751</v>
      </c>
      <c r="D9" s="4" t="s">
        <v>755</v>
      </c>
    </row>
    <row r="10" spans="1:4" ht="60" customHeight="1" x14ac:dyDescent="0.25">
      <c r="A10" s="3" t="s">
        <v>756</v>
      </c>
      <c r="B10" s="3" t="s">
        <v>757</v>
      </c>
      <c r="C10" s="3" t="s">
        <v>758</v>
      </c>
      <c r="D10" s="3" t="s">
        <v>759</v>
      </c>
    </row>
    <row r="11" spans="1:4" ht="60" customHeight="1" x14ac:dyDescent="0.25">
      <c r="A11" s="4" t="s">
        <v>760</v>
      </c>
      <c r="B11" s="4" t="s">
        <v>761</v>
      </c>
      <c r="C11" s="4" t="s">
        <v>762</v>
      </c>
      <c r="D11" s="4" t="s">
        <v>763</v>
      </c>
    </row>
    <row r="12" spans="1:4" ht="60" customHeight="1" x14ac:dyDescent="0.25">
      <c r="A12" s="3" t="s">
        <v>764</v>
      </c>
      <c r="B12" s="3" t="s">
        <v>765</v>
      </c>
      <c r="C12" s="3" t="s">
        <v>766</v>
      </c>
      <c r="D12" s="3" t="s">
        <v>767</v>
      </c>
    </row>
    <row r="13" spans="1:4" ht="60" customHeight="1" x14ac:dyDescent="0.25">
      <c r="A13" s="4" t="s">
        <v>768</v>
      </c>
      <c r="B13" s="4" t="s">
        <v>769</v>
      </c>
      <c r="C13" s="4" t="s">
        <v>770</v>
      </c>
      <c r="D13" s="4" t="s">
        <v>771</v>
      </c>
    </row>
    <row r="14" spans="1:4" ht="60" customHeight="1" x14ac:dyDescent="0.25">
      <c r="A14" s="3" t="s">
        <v>772</v>
      </c>
      <c r="B14" s="3" t="s">
        <v>773</v>
      </c>
      <c r="C14" s="3" t="s">
        <v>774</v>
      </c>
      <c r="D14" s="3" t="s">
        <v>775</v>
      </c>
    </row>
    <row r="15" spans="1:4" ht="60" customHeight="1" x14ac:dyDescent="0.25">
      <c r="A15" s="4" t="s">
        <v>776</v>
      </c>
      <c r="B15" s="4" t="s">
        <v>777</v>
      </c>
      <c r="C15" s="4" t="s">
        <v>778</v>
      </c>
      <c r="D15" s="4" t="s">
        <v>779</v>
      </c>
    </row>
  </sheetData>
  <autoFilter ref="A1:D1" xr:uid="{155EED6A-5452-4E9C-943C-7304E89632B1}"/>
  <conditionalFormatting sqref="B2:B15">
    <cfRule type="containsText" dxfId="8" priority="1" operator="containsText" text="architecture">
      <formula>NOT(ISERROR(SEARCH("architecture",B2)))</formula>
    </cfRule>
  </conditionalFormatting>
  <conditionalFormatting sqref="B2:B15">
    <cfRule type="containsText" dxfId="7" priority="2" operator="containsText" text="higher education">
      <formula>NOT(ISERROR(SEARCH("higher education",B2)))</formula>
    </cfRule>
  </conditionalFormatting>
  <conditionalFormatting sqref="B2:B15">
    <cfRule type="containsText" dxfId="6" priority="3" operator="containsText" text="retail">
      <formula>NOT(ISERROR(SEARCH("retail",B2)))</formula>
    </cfRule>
  </conditionalFormatting>
  <conditionalFormatting sqref="B2:B15">
    <cfRule type="containsText" dxfId="5" priority="4" operator="containsText" text="real estate">
      <formula>NOT(ISERROR(SEARCH("real estate",B2)))</formula>
    </cfRule>
  </conditionalFormatting>
  <conditionalFormatting sqref="B2:B15">
    <cfRule type="containsText" dxfId="4" priority="5" operator="containsText" text="technology">
      <formula>NOT(ISERROR(SEARCH("technology",B2)))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DC4E-3AC5-4AD6-858C-A36E3561E387}">
  <sheetPr>
    <tabColor rgb="FF2D6A4F"/>
  </sheetPr>
  <dimension ref="A1:M135"/>
  <sheetViews>
    <sheetView tabSelected="1" topLeftCell="D1" workbookViewId="0">
      <pane ySplit="1" topLeftCell="A107" activePane="bottomLeft" state="frozen"/>
      <selection pane="bottomLeft" activeCell="B1" sqref="B1"/>
    </sheetView>
  </sheetViews>
  <sheetFormatPr defaultRowHeight="15.75" x14ac:dyDescent="0.25"/>
  <cols>
    <col min="1" max="1" width="30" customWidth="1"/>
    <col min="2" max="2" width="23.375" customWidth="1"/>
    <col min="3" max="3" width="26.625" customWidth="1"/>
    <col min="4" max="4" width="21.625" customWidth="1"/>
    <col min="5" max="5" width="36.625" customWidth="1"/>
    <col min="6" max="6" width="46.625" customWidth="1"/>
    <col min="7" max="7" width="13.375" customWidth="1"/>
    <col min="8" max="8" width="15" customWidth="1"/>
    <col min="9" max="9" width="43.375" customWidth="1"/>
    <col min="10" max="10" width="21.625" customWidth="1"/>
    <col min="12" max="13" width="26.625" customWidth="1"/>
  </cols>
  <sheetData>
    <row r="1" spans="1:13" ht="2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1" t="s">
        <v>1</v>
      </c>
      <c r="M1" s="1" t="s">
        <v>977</v>
      </c>
    </row>
    <row r="2" spans="1:13" ht="45" customHeight="1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24</v>
      </c>
      <c r="F2" s="3" t="s">
        <v>25</v>
      </c>
      <c r="G2" s="3" t="s">
        <v>15</v>
      </c>
      <c r="H2" s="3" t="s">
        <v>16</v>
      </c>
      <c r="I2" s="3" t="s">
        <v>26</v>
      </c>
      <c r="J2" s="3" t="s">
        <v>17</v>
      </c>
      <c r="L2" t="s">
        <v>301</v>
      </c>
      <c r="M2">
        <v>26</v>
      </c>
    </row>
    <row r="3" spans="1:13" ht="45" customHeight="1" x14ac:dyDescent="0.25">
      <c r="A3" s="4" t="s">
        <v>18</v>
      </c>
      <c r="B3" s="4" t="s">
        <v>11</v>
      </c>
      <c r="C3" s="4" t="s">
        <v>12</v>
      </c>
      <c r="D3" s="4" t="s">
        <v>19</v>
      </c>
      <c r="E3" s="4" t="s">
        <v>27</v>
      </c>
      <c r="F3" s="4" t="s">
        <v>28</v>
      </c>
      <c r="G3" s="4" t="s">
        <v>15</v>
      </c>
      <c r="H3" s="4" t="s">
        <v>16</v>
      </c>
      <c r="I3" s="4" t="s">
        <v>29</v>
      </c>
      <c r="J3" s="4" t="s">
        <v>17</v>
      </c>
      <c r="L3" t="s">
        <v>11</v>
      </c>
      <c r="M3">
        <v>20</v>
      </c>
    </row>
    <row r="4" spans="1:13" ht="45" customHeight="1" x14ac:dyDescent="0.25">
      <c r="A4" s="3" t="s">
        <v>20</v>
      </c>
      <c r="B4" s="3" t="s">
        <v>11</v>
      </c>
      <c r="C4" s="3" t="s">
        <v>21</v>
      </c>
      <c r="D4" s="3" t="s">
        <v>22</v>
      </c>
      <c r="E4" s="3" t="s">
        <v>30</v>
      </c>
      <c r="F4" s="3" t="s">
        <v>31</v>
      </c>
      <c r="G4" s="3" t="s">
        <v>15</v>
      </c>
      <c r="H4" s="3" t="s">
        <v>16</v>
      </c>
      <c r="I4" s="3" t="s">
        <v>32</v>
      </c>
      <c r="J4" s="3" t="s">
        <v>17</v>
      </c>
      <c r="L4" t="s">
        <v>176</v>
      </c>
      <c r="M4">
        <v>14</v>
      </c>
    </row>
    <row r="5" spans="1:13" ht="45" customHeight="1" x14ac:dyDescent="0.25">
      <c r="A5" s="4" t="s">
        <v>33</v>
      </c>
      <c r="B5" s="4" t="s">
        <v>11</v>
      </c>
      <c r="C5" s="4" t="s">
        <v>34</v>
      </c>
      <c r="D5" s="4" t="s">
        <v>22</v>
      </c>
      <c r="E5" s="4" t="s">
        <v>35</v>
      </c>
      <c r="F5" s="4" t="s">
        <v>36</v>
      </c>
      <c r="G5" s="4" t="s">
        <v>15</v>
      </c>
      <c r="H5" s="4" t="s">
        <v>16</v>
      </c>
      <c r="I5" s="4" t="s">
        <v>37</v>
      </c>
      <c r="J5" s="4" t="s">
        <v>17</v>
      </c>
      <c r="L5" t="s">
        <v>126</v>
      </c>
      <c r="M5">
        <v>10</v>
      </c>
    </row>
    <row r="6" spans="1:13" ht="45" customHeight="1" x14ac:dyDescent="0.25">
      <c r="A6" s="3" t="s">
        <v>38</v>
      </c>
      <c r="B6" s="3" t="s">
        <v>11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15</v>
      </c>
      <c r="H6" s="3" t="s">
        <v>43</v>
      </c>
      <c r="I6" s="3" t="s">
        <v>44</v>
      </c>
      <c r="J6" s="3" t="s">
        <v>17</v>
      </c>
      <c r="L6" t="s">
        <v>228</v>
      </c>
      <c r="M6">
        <v>9</v>
      </c>
    </row>
    <row r="7" spans="1:13" ht="45" customHeight="1" x14ac:dyDescent="0.25">
      <c r="A7" s="4" t="s">
        <v>45</v>
      </c>
      <c r="B7" s="4" t="s">
        <v>11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15</v>
      </c>
      <c r="H7" s="4" t="s">
        <v>43</v>
      </c>
      <c r="I7" s="4" t="s">
        <v>50</v>
      </c>
      <c r="J7" s="4" t="s">
        <v>17</v>
      </c>
      <c r="L7" t="s">
        <v>473</v>
      </c>
      <c r="M7">
        <v>10</v>
      </c>
    </row>
    <row r="8" spans="1:13" ht="45" customHeight="1" x14ac:dyDescent="0.25">
      <c r="A8" s="3" t="s">
        <v>51</v>
      </c>
      <c r="B8" s="3" t="s">
        <v>11</v>
      </c>
      <c r="C8" s="3" t="s">
        <v>46</v>
      </c>
      <c r="D8" s="3" t="s">
        <v>52</v>
      </c>
      <c r="E8" s="3" t="s">
        <v>53</v>
      </c>
      <c r="F8" s="3" t="s">
        <v>54</v>
      </c>
      <c r="G8" s="3" t="s">
        <v>15</v>
      </c>
      <c r="H8" s="3" t="s">
        <v>16</v>
      </c>
      <c r="I8" s="3" t="s">
        <v>55</v>
      </c>
      <c r="J8" s="3" t="s">
        <v>17</v>
      </c>
      <c r="L8" t="s">
        <v>420</v>
      </c>
      <c r="M8">
        <v>10</v>
      </c>
    </row>
    <row r="9" spans="1:13" ht="45" customHeight="1" x14ac:dyDescent="0.25">
      <c r="A9" s="4" t="s">
        <v>56</v>
      </c>
      <c r="B9" s="4" t="s">
        <v>11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15</v>
      </c>
      <c r="H9" s="4" t="s">
        <v>16</v>
      </c>
      <c r="I9" s="4" t="s">
        <v>61</v>
      </c>
      <c r="J9" s="4" t="s">
        <v>17</v>
      </c>
      <c r="L9" t="s">
        <v>520</v>
      </c>
      <c r="M9">
        <v>5</v>
      </c>
    </row>
    <row r="10" spans="1:13" ht="45" customHeight="1" x14ac:dyDescent="0.25">
      <c r="A10" s="3" t="s">
        <v>62</v>
      </c>
      <c r="B10" s="3" t="s">
        <v>11</v>
      </c>
      <c r="C10" s="3" t="s">
        <v>63</v>
      </c>
      <c r="D10" s="3" t="s">
        <v>22</v>
      </c>
      <c r="E10" s="3" t="s">
        <v>64</v>
      </c>
      <c r="F10" s="3" t="s">
        <v>65</v>
      </c>
      <c r="G10" s="3" t="s">
        <v>15</v>
      </c>
      <c r="H10" s="3" t="s">
        <v>43</v>
      </c>
      <c r="I10" s="3" t="s">
        <v>66</v>
      </c>
      <c r="J10" s="3" t="s">
        <v>17</v>
      </c>
      <c r="L10" t="s">
        <v>554</v>
      </c>
      <c r="M10">
        <v>6</v>
      </c>
    </row>
    <row r="11" spans="1:13" ht="45" customHeight="1" x14ac:dyDescent="0.25">
      <c r="A11" s="4" t="s">
        <v>67</v>
      </c>
      <c r="B11" s="4" t="s">
        <v>11</v>
      </c>
      <c r="C11" s="4" t="s">
        <v>68</v>
      </c>
      <c r="D11" s="4" t="s">
        <v>22</v>
      </c>
      <c r="E11" s="4" t="s">
        <v>69</v>
      </c>
      <c r="F11" s="4" t="s">
        <v>70</v>
      </c>
      <c r="G11" s="4" t="s">
        <v>15</v>
      </c>
      <c r="H11" s="4" t="s">
        <v>43</v>
      </c>
      <c r="I11" s="4" t="s">
        <v>71</v>
      </c>
      <c r="J11" s="4" t="s">
        <v>17</v>
      </c>
    </row>
    <row r="12" spans="1:13" ht="45" customHeight="1" x14ac:dyDescent="0.25">
      <c r="A12" s="3" t="s">
        <v>72</v>
      </c>
      <c r="B12" s="3" t="s">
        <v>11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15</v>
      </c>
      <c r="H12" s="3" t="s">
        <v>16</v>
      </c>
      <c r="I12" s="3" t="s">
        <v>77</v>
      </c>
      <c r="J12" s="3" t="s">
        <v>17</v>
      </c>
      <c r="L12" s="1" t="s">
        <v>978</v>
      </c>
      <c r="M12" s="1" t="s">
        <v>977</v>
      </c>
    </row>
    <row r="13" spans="1:13" ht="45" customHeight="1" x14ac:dyDescent="0.25">
      <c r="A13" s="4" t="s">
        <v>78</v>
      </c>
      <c r="B13" s="4" t="s">
        <v>11</v>
      </c>
      <c r="C13" s="4" t="s">
        <v>79</v>
      </c>
      <c r="D13" s="4" t="s">
        <v>80</v>
      </c>
      <c r="E13" s="4" t="s">
        <v>81</v>
      </c>
      <c r="F13" s="4" t="s">
        <v>82</v>
      </c>
      <c r="G13" s="4" t="s">
        <v>15</v>
      </c>
      <c r="H13" s="4" t="s">
        <v>43</v>
      </c>
      <c r="I13" s="4" t="s">
        <v>83</v>
      </c>
      <c r="J13" s="4" t="s">
        <v>17</v>
      </c>
      <c r="L13" t="s">
        <v>979</v>
      </c>
      <c r="M13">
        <v>57</v>
      </c>
    </row>
    <row r="14" spans="1:13" ht="45" customHeight="1" x14ac:dyDescent="0.25">
      <c r="A14" s="3" t="s">
        <v>84</v>
      </c>
      <c r="B14" s="3" t="s">
        <v>11</v>
      </c>
      <c r="C14" s="3" t="s">
        <v>85</v>
      </c>
      <c r="D14" s="3" t="s">
        <v>86</v>
      </c>
      <c r="E14" s="3" t="s">
        <v>87</v>
      </c>
      <c r="F14" s="3" t="s">
        <v>88</v>
      </c>
      <c r="G14" s="3" t="s">
        <v>15</v>
      </c>
      <c r="H14" s="3" t="s">
        <v>16</v>
      </c>
      <c r="I14" s="3" t="s">
        <v>89</v>
      </c>
      <c r="J14" s="3" t="s">
        <v>17</v>
      </c>
      <c r="L14" t="s">
        <v>980</v>
      </c>
      <c r="M14">
        <v>60</v>
      </c>
    </row>
    <row r="15" spans="1:13" ht="45" customHeight="1" x14ac:dyDescent="0.25">
      <c r="A15" s="4" t="s">
        <v>90</v>
      </c>
      <c r="B15" s="4" t="s">
        <v>11</v>
      </c>
      <c r="C15" s="4" t="s">
        <v>91</v>
      </c>
      <c r="D15" s="4" t="s">
        <v>92</v>
      </c>
      <c r="E15" s="4" t="s">
        <v>93</v>
      </c>
      <c r="F15" s="4" t="s">
        <v>23</v>
      </c>
      <c r="G15" s="4" t="s">
        <v>15</v>
      </c>
      <c r="H15" s="4" t="s">
        <v>43</v>
      </c>
      <c r="I15" s="4" t="s">
        <v>94</v>
      </c>
      <c r="J15" s="4" t="s">
        <v>17</v>
      </c>
      <c r="L15" t="s">
        <v>981</v>
      </c>
      <c r="M15">
        <v>17</v>
      </c>
    </row>
    <row r="16" spans="1:13" ht="45" customHeight="1" x14ac:dyDescent="0.25">
      <c r="A16" s="3" t="s">
        <v>95</v>
      </c>
      <c r="B16" s="3" t="s">
        <v>11</v>
      </c>
      <c r="C16" s="3" t="s">
        <v>96</v>
      </c>
      <c r="D16" s="3" t="s">
        <v>92</v>
      </c>
      <c r="E16" s="3" t="s">
        <v>97</v>
      </c>
      <c r="F16" s="3" t="s">
        <v>23</v>
      </c>
      <c r="G16" s="3" t="s">
        <v>15</v>
      </c>
      <c r="H16" s="3" t="s">
        <v>43</v>
      </c>
      <c r="I16" s="3" t="s">
        <v>94</v>
      </c>
      <c r="J16" s="3" t="s">
        <v>17</v>
      </c>
    </row>
    <row r="17" spans="1:10" ht="45" customHeight="1" x14ac:dyDescent="0.25">
      <c r="A17" s="4" t="s">
        <v>98</v>
      </c>
      <c r="B17" s="4" t="s">
        <v>11</v>
      </c>
      <c r="C17" s="4" t="s">
        <v>99</v>
      </c>
      <c r="D17" s="4" t="s">
        <v>92</v>
      </c>
      <c r="E17" s="4" t="s">
        <v>100</v>
      </c>
      <c r="F17" s="4" t="s">
        <v>101</v>
      </c>
      <c r="G17" s="4" t="s">
        <v>15</v>
      </c>
      <c r="H17" s="4" t="s">
        <v>43</v>
      </c>
      <c r="I17" s="4" t="s">
        <v>102</v>
      </c>
      <c r="J17" s="4" t="s">
        <v>17</v>
      </c>
    </row>
    <row r="18" spans="1:10" ht="45" customHeight="1" x14ac:dyDescent="0.25">
      <c r="A18" s="3" t="s">
        <v>103</v>
      </c>
      <c r="B18" s="3" t="s">
        <v>11</v>
      </c>
      <c r="C18" s="3" t="s">
        <v>104</v>
      </c>
      <c r="D18" s="3" t="s">
        <v>105</v>
      </c>
      <c r="E18" s="3" t="s">
        <v>106</v>
      </c>
      <c r="F18" s="3" t="s">
        <v>23</v>
      </c>
      <c r="G18" s="3" t="s">
        <v>15</v>
      </c>
      <c r="H18" s="3" t="s">
        <v>43</v>
      </c>
      <c r="I18" s="3" t="s">
        <v>107</v>
      </c>
      <c r="J18" s="3" t="s">
        <v>17</v>
      </c>
    </row>
    <row r="19" spans="1:10" ht="45" customHeight="1" x14ac:dyDescent="0.25">
      <c r="A19" s="4" t="s">
        <v>108</v>
      </c>
      <c r="B19" s="4" t="s">
        <v>11</v>
      </c>
      <c r="C19" s="4" t="s">
        <v>109</v>
      </c>
      <c r="D19" s="4" t="s">
        <v>110</v>
      </c>
      <c r="E19" s="4" t="s">
        <v>111</v>
      </c>
      <c r="F19" s="4" t="s">
        <v>23</v>
      </c>
      <c r="G19" s="4" t="s">
        <v>15</v>
      </c>
      <c r="H19" s="4" t="s">
        <v>16</v>
      </c>
      <c r="I19" s="4" t="s">
        <v>112</v>
      </c>
      <c r="J19" s="4" t="s">
        <v>17</v>
      </c>
    </row>
    <row r="20" spans="1:10" ht="45" customHeight="1" x14ac:dyDescent="0.25">
      <c r="A20" s="3" t="s">
        <v>113</v>
      </c>
      <c r="B20" s="3" t="s">
        <v>11</v>
      </c>
      <c r="C20" s="3" t="s">
        <v>114</v>
      </c>
      <c r="D20" s="3" t="s">
        <v>115</v>
      </c>
      <c r="E20" s="3" t="s">
        <v>116</v>
      </c>
      <c r="F20" s="3" t="s">
        <v>117</v>
      </c>
      <c r="G20" s="3" t="s">
        <v>118</v>
      </c>
      <c r="H20" s="3" t="s">
        <v>16</v>
      </c>
      <c r="I20" s="3" t="s">
        <v>119</v>
      </c>
      <c r="J20" s="3" t="s">
        <v>17</v>
      </c>
    </row>
    <row r="21" spans="1:10" ht="45" customHeight="1" x14ac:dyDescent="0.25">
      <c r="A21" s="4" t="s">
        <v>120</v>
      </c>
      <c r="B21" s="4" t="s">
        <v>11</v>
      </c>
      <c r="C21" s="4" t="s">
        <v>114</v>
      </c>
      <c r="D21" s="4" t="s">
        <v>121</v>
      </c>
      <c r="E21" s="4" t="s">
        <v>122</v>
      </c>
      <c r="F21" s="4" t="s">
        <v>123</v>
      </c>
      <c r="G21" s="4" t="s">
        <v>118</v>
      </c>
      <c r="H21" s="4" t="s">
        <v>16</v>
      </c>
      <c r="I21" s="4" t="s">
        <v>124</v>
      </c>
      <c r="J21" s="4" t="s">
        <v>17</v>
      </c>
    </row>
    <row r="22" spans="1:10" ht="45" customHeight="1" x14ac:dyDescent="0.25">
      <c r="A22" s="3" t="s">
        <v>125</v>
      </c>
      <c r="B22" s="3" t="s">
        <v>126</v>
      </c>
      <c r="C22" s="3" t="s">
        <v>127</v>
      </c>
      <c r="D22" s="3" t="s">
        <v>128</v>
      </c>
      <c r="E22" s="3" t="s">
        <v>129</v>
      </c>
      <c r="F22" s="3" t="s">
        <v>130</v>
      </c>
      <c r="G22" s="3" t="s">
        <v>15</v>
      </c>
      <c r="H22" s="3" t="s">
        <v>16</v>
      </c>
      <c r="I22" s="3" t="s">
        <v>131</v>
      </c>
      <c r="J22" s="3" t="s">
        <v>17</v>
      </c>
    </row>
    <row r="23" spans="1:10" ht="45" customHeight="1" x14ac:dyDescent="0.25">
      <c r="A23" s="4" t="s">
        <v>132</v>
      </c>
      <c r="B23" s="4" t="s">
        <v>126</v>
      </c>
      <c r="C23" s="4" t="s">
        <v>133</v>
      </c>
      <c r="D23" s="4" t="s">
        <v>134</v>
      </c>
      <c r="E23" s="4" t="s">
        <v>135</v>
      </c>
      <c r="F23" s="4" t="s">
        <v>136</v>
      </c>
      <c r="G23" s="4" t="s">
        <v>118</v>
      </c>
      <c r="H23" s="4" t="s">
        <v>16</v>
      </c>
      <c r="I23" s="4" t="s">
        <v>137</v>
      </c>
      <c r="J23" s="4" t="s">
        <v>17</v>
      </c>
    </row>
    <row r="24" spans="1:10" ht="45" customHeight="1" x14ac:dyDescent="0.25">
      <c r="A24" s="3" t="s">
        <v>138</v>
      </c>
      <c r="B24" s="3" t="s">
        <v>126</v>
      </c>
      <c r="C24" s="3" t="s">
        <v>139</v>
      </c>
      <c r="D24" s="3" t="s">
        <v>140</v>
      </c>
      <c r="E24" s="3" t="s">
        <v>141</v>
      </c>
      <c r="F24" s="3" t="s">
        <v>142</v>
      </c>
      <c r="G24" s="3" t="s">
        <v>118</v>
      </c>
      <c r="H24" s="3" t="s">
        <v>16</v>
      </c>
      <c r="I24" s="3" t="s">
        <v>143</v>
      </c>
      <c r="J24" s="3" t="s">
        <v>17</v>
      </c>
    </row>
    <row r="25" spans="1:10" ht="45" customHeight="1" x14ac:dyDescent="0.25">
      <c r="A25" s="4" t="s">
        <v>144</v>
      </c>
      <c r="B25" s="4" t="s">
        <v>126</v>
      </c>
      <c r="C25" s="4" t="s">
        <v>145</v>
      </c>
      <c r="D25" s="4" t="s">
        <v>74</v>
      </c>
      <c r="E25" s="4" t="s">
        <v>146</v>
      </c>
      <c r="F25" s="4" t="s">
        <v>147</v>
      </c>
      <c r="G25" s="4" t="s">
        <v>15</v>
      </c>
      <c r="H25" s="4" t="s">
        <v>16</v>
      </c>
      <c r="I25" s="4" t="s">
        <v>148</v>
      </c>
      <c r="J25" s="4" t="s">
        <v>17</v>
      </c>
    </row>
    <row r="26" spans="1:10" ht="45" customHeight="1" x14ac:dyDescent="0.25">
      <c r="A26" s="3" t="s">
        <v>149</v>
      </c>
      <c r="B26" s="3" t="s">
        <v>126</v>
      </c>
      <c r="C26" s="3" t="s">
        <v>133</v>
      </c>
      <c r="D26" s="3" t="s">
        <v>47</v>
      </c>
      <c r="E26" s="3" t="s">
        <v>150</v>
      </c>
      <c r="F26" s="3" t="s">
        <v>151</v>
      </c>
      <c r="G26" s="3" t="s">
        <v>15</v>
      </c>
      <c r="H26" s="3" t="s">
        <v>43</v>
      </c>
      <c r="I26" s="3" t="s">
        <v>152</v>
      </c>
      <c r="J26" s="3" t="s">
        <v>17</v>
      </c>
    </row>
    <row r="27" spans="1:10" ht="45" customHeight="1" x14ac:dyDescent="0.25">
      <c r="A27" s="4" t="s">
        <v>153</v>
      </c>
      <c r="B27" s="4" t="s">
        <v>126</v>
      </c>
      <c r="C27" s="4" t="s">
        <v>154</v>
      </c>
      <c r="D27" s="4" t="s">
        <v>74</v>
      </c>
      <c r="E27" s="4" t="s">
        <v>155</v>
      </c>
      <c r="F27" s="4" t="s">
        <v>156</v>
      </c>
      <c r="G27" s="4" t="s">
        <v>15</v>
      </c>
      <c r="H27" s="4" t="s">
        <v>43</v>
      </c>
      <c r="I27" s="4" t="s">
        <v>157</v>
      </c>
      <c r="J27" s="4" t="s">
        <v>17</v>
      </c>
    </row>
    <row r="28" spans="1:10" ht="45" customHeight="1" x14ac:dyDescent="0.25">
      <c r="A28" s="3" t="s">
        <v>158</v>
      </c>
      <c r="B28" s="3" t="s">
        <v>126</v>
      </c>
      <c r="C28" s="3" t="s">
        <v>159</v>
      </c>
      <c r="D28" s="3" t="s">
        <v>74</v>
      </c>
      <c r="E28" s="3" t="s">
        <v>160</v>
      </c>
      <c r="F28" s="3" t="s">
        <v>161</v>
      </c>
      <c r="G28" s="3" t="s">
        <v>118</v>
      </c>
      <c r="H28" s="3" t="s">
        <v>16</v>
      </c>
      <c r="I28" s="3" t="s">
        <v>162</v>
      </c>
      <c r="J28" s="3" t="s">
        <v>17</v>
      </c>
    </row>
    <row r="29" spans="1:10" ht="45" customHeight="1" x14ac:dyDescent="0.25">
      <c r="A29" s="4" t="s">
        <v>163</v>
      </c>
      <c r="B29" s="4" t="s">
        <v>126</v>
      </c>
      <c r="C29" s="4" t="s">
        <v>164</v>
      </c>
      <c r="D29" s="4" t="s">
        <v>115</v>
      </c>
      <c r="E29" s="4" t="s">
        <v>165</v>
      </c>
      <c r="F29" s="4" t="s">
        <v>166</v>
      </c>
      <c r="G29" s="4" t="s">
        <v>15</v>
      </c>
      <c r="H29" s="4" t="s">
        <v>43</v>
      </c>
      <c r="I29" s="4" t="s">
        <v>167</v>
      </c>
      <c r="J29" s="4" t="s">
        <v>17</v>
      </c>
    </row>
    <row r="30" spans="1:10" ht="45" customHeight="1" x14ac:dyDescent="0.25">
      <c r="A30" s="3" t="s">
        <v>168</v>
      </c>
      <c r="B30" s="3" t="s">
        <v>126</v>
      </c>
      <c r="C30" s="3" t="s">
        <v>169</v>
      </c>
      <c r="D30" s="3" t="s">
        <v>92</v>
      </c>
      <c r="E30" s="3" t="s">
        <v>170</v>
      </c>
      <c r="F30" s="3" t="s">
        <v>161</v>
      </c>
      <c r="G30" s="3" t="s">
        <v>15</v>
      </c>
      <c r="H30" s="3" t="s">
        <v>43</v>
      </c>
      <c r="I30" s="3" t="s">
        <v>171</v>
      </c>
      <c r="J30" s="3" t="s">
        <v>17</v>
      </c>
    </row>
    <row r="31" spans="1:10" ht="45" customHeight="1" x14ac:dyDescent="0.25">
      <c r="A31" s="4" t="s">
        <v>172</v>
      </c>
      <c r="B31" s="4" t="s">
        <v>126</v>
      </c>
      <c r="C31" s="4" t="s">
        <v>127</v>
      </c>
      <c r="D31" s="4" t="s">
        <v>74</v>
      </c>
      <c r="E31" s="4" t="s">
        <v>173</v>
      </c>
      <c r="F31" s="4" t="s">
        <v>161</v>
      </c>
      <c r="G31" s="4" t="s">
        <v>15</v>
      </c>
      <c r="H31" s="4" t="s">
        <v>16</v>
      </c>
      <c r="I31" s="4" t="s">
        <v>174</v>
      </c>
      <c r="J31" s="4" t="s">
        <v>17</v>
      </c>
    </row>
    <row r="32" spans="1:10" ht="45" customHeight="1" x14ac:dyDescent="0.25">
      <c r="A32" s="3" t="s">
        <v>175</v>
      </c>
      <c r="B32" s="3" t="s">
        <v>176</v>
      </c>
      <c r="C32" s="3" t="s">
        <v>177</v>
      </c>
      <c r="D32" s="3" t="s">
        <v>178</v>
      </c>
      <c r="E32" s="3" t="s">
        <v>179</v>
      </c>
      <c r="F32" s="3" t="s">
        <v>180</v>
      </c>
      <c r="G32" s="3" t="s">
        <v>15</v>
      </c>
      <c r="H32" s="3" t="s">
        <v>43</v>
      </c>
      <c r="I32" s="3" t="s">
        <v>181</v>
      </c>
      <c r="J32" s="3" t="s">
        <v>17</v>
      </c>
    </row>
    <row r="33" spans="1:10" ht="45" customHeight="1" x14ac:dyDescent="0.25">
      <c r="A33" s="4" t="s">
        <v>182</v>
      </c>
      <c r="B33" s="4" t="s">
        <v>176</v>
      </c>
      <c r="C33" s="4" t="s">
        <v>177</v>
      </c>
      <c r="D33" s="4" t="s">
        <v>183</v>
      </c>
      <c r="E33" s="4" t="s">
        <v>184</v>
      </c>
      <c r="F33" s="4" t="s">
        <v>185</v>
      </c>
      <c r="G33" s="4" t="s">
        <v>15</v>
      </c>
      <c r="H33" s="4" t="s">
        <v>16</v>
      </c>
      <c r="I33" s="4" t="s">
        <v>186</v>
      </c>
      <c r="J33" s="4" t="s">
        <v>17</v>
      </c>
    </row>
    <row r="34" spans="1:10" ht="45" customHeight="1" x14ac:dyDescent="0.25">
      <c r="A34" s="3" t="s">
        <v>187</v>
      </c>
      <c r="B34" s="3" t="s">
        <v>176</v>
      </c>
      <c r="C34" s="3" t="s">
        <v>188</v>
      </c>
      <c r="D34" s="3" t="s">
        <v>80</v>
      </c>
      <c r="E34" s="3" t="s">
        <v>189</v>
      </c>
      <c r="F34" s="3" t="s">
        <v>190</v>
      </c>
      <c r="G34" s="3" t="s">
        <v>15</v>
      </c>
      <c r="H34" s="3" t="s">
        <v>16</v>
      </c>
      <c r="I34" s="3" t="s">
        <v>191</v>
      </c>
      <c r="J34" s="3" t="s">
        <v>17</v>
      </c>
    </row>
    <row r="35" spans="1:10" ht="45" customHeight="1" x14ac:dyDescent="0.25">
      <c r="A35" s="4" t="s">
        <v>192</v>
      </c>
      <c r="B35" s="4" t="s">
        <v>176</v>
      </c>
      <c r="C35" s="4" t="s">
        <v>177</v>
      </c>
      <c r="D35" s="4" t="s">
        <v>92</v>
      </c>
      <c r="E35" s="4" t="s">
        <v>193</v>
      </c>
      <c r="F35" s="4" t="s">
        <v>194</v>
      </c>
      <c r="G35" s="4" t="s">
        <v>15</v>
      </c>
      <c r="H35" s="4" t="s">
        <v>43</v>
      </c>
      <c r="I35" s="4" t="s">
        <v>195</v>
      </c>
      <c r="J35" s="4" t="s">
        <v>17</v>
      </c>
    </row>
    <row r="36" spans="1:10" ht="45" customHeight="1" x14ac:dyDescent="0.25">
      <c r="A36" s="3" t="s">
        <v>196</v>
      </c>
      <c r="B36" s="3" t="s">
        <v>176</v>
      </c>
      <c r="C36" s="3" t="s">
        <v>197</v>
      </c>
      <c r="D36" s="3" t="s">
        <v>198</v>
      </c>
      <c r="E36" s="3" t="s">
        <v>199</v>
      </c>
      <c r="F36" s="3" t="s">
        <v>200</v>
      </c>
      <c r="G36" s="3" t="s">
        <v>15</v>
      </c>
      <c r="H36" s="3" t="s">
        <v>16</v>
      </c>
      <c r="I36" s="3" t="s">
        <v>201</v>
      </c>
      <c r="J36" s="3" t="s">
        <v>17</v>
      </c>
    </row>
    <row r="37" spans="1:10" ht="45" customHeight="1" x14ac:dyDescent="0.25">
      <c r="A37" s="4" t="s">
        <v>202</v>
      </c>
      <c r="B37" s="4" t="s">
        <v>176</v>
      </c>
      <c r="C37" s="4" t="s">
        <v>203</v>
      </c>
      <c r="D37" s="4" t="s">
        <v>204</v>
      </c>
      <c r="E37" s="4" t="s">
        <v>205</v>
      </c>
      <c r="F37" s="4" t="s">
        <v>206</v>
      </c>
      <c r="G37" s="4" t="s">
        <v>15</v>
      </c>
      <c r="H37" s="4" t="s">
        <v>16</v>
      </c>
      <c r="I37" s="4" t="s">
        <v>207</v>
      </c>
      <c r="J37" s="4" t="s">
        <v>17</v>
      </c>
    </row>
    <row r="38" spans="1:10" ht="45" customHeight="1" x14ac:dyDescent="0.25">
      <c r="A38" s="3" t="s">
        <v>208</v>
      </c>
      <c r="B38" s="3" t="s">
        <v>176</v>
      </c>
      <c r="C38" s="3" t="s">
        <v>209</v>
      </c>
      <c r="D38" s="3" t="s">
        <v>210</v>
      </c>
      <c r="E38" s="3" t="s">
        <v>211</v>
      </c>
      <c r="F38" s="3" t="s">
        <v>212</v>
      </c>
      <c r="G38" s="3" t="s">
        <v>118</v>
      </c>
      <c r="H38" s="3" t="s">
        <v>16</v>
      </c>
      <c r="I38" s="3" t="s">
        <v>213</v>
      </c>
      <c r="J38" s="3" t="s">
        <v>17</v>
      </c>
    </row>
    <row r="39" spans="1:10" ht="45" customHeight="1" x14ac:dyDescent="0.25">
      <c r="A39" s="4" t="s">
        <v>214</v>
      </c>
      <c r="B39" s="4" t="s">
        <v>176</v>
      </c>
      <c r="C39" s="4" t="s">
        <v>177</v>
      </c>
      <c r="D39" s="4" t="s">
        <v>92</v>
      </c>
      <c r="E39" s="4" t="s">
        <v>215</v>
      </c>
      <c r="F39" s="4" t="s">
        <v>216</v>
      </c>
      <c r="G39" s="4" t="s">
        <v>15</v>
      </c>
      <c r="H39" s="4" t="s">
        <v>43</v>
      </c>
      <c r="I39" s="4" t="s">
        <v>217</v>
      </c>
      <c r="J39" s="4" t="s">
        <v>17</v>
      </c>
    </row>
    <row r="40" spans="1:10" ht="45" customHeight="1" x14ac:dyDescent="0.25">
      <c r="A40" s="3" t="s">
        <v>218</v>
      </c>
      <c r="B40" s="3" t="s">
        <v>176</v>
      </c>
      <c r="C40" s="3" t="s">
        <v>219</v>
      </c>
      <c r="D40" s="3" t="s">
        <v>92</v>
      </c>
      <c r="E40" s="3" t="s">
        <v>220</v>
      </c>
      <c r="F40" s="3" t="s">
        <v>216</v>
      </c>
      <c r="G40" s="3" t="s">
        <v>15</v>
      </c>
      <c r="H40" s="3" t="s">
        <v>43</v>
      </c>
      <c r="I40" s="3" t="s">
        <v>221</v>
      </c>
      <c r="J40" s="3" t="s">
        <v>17</v>
      </c>
    </row>
    <row r="41" spans="1:10" ht="45" customHeight="1" x14ac:dyDescent="0.25">
      <c r="A41" s="4" t="s">
        <v>222</v>
      </c>
      <c r="B41" s="4" t="s">
        <v>176</v>
      </c>
      <c r="C41" s="4" t="s">
        <v>223</v>
      </c>
      <c r="D41" s="4" t="s">
        <v>92</v>
      </c>
      <c r="E41" s="4" t="s">
        <v>224</v>
      </c>
      <c r="F41" s="4" t="s">
        <v>225</v>
      </c>
      <c r="G41" s="4" t="s">
        <v>15</v>
      </c>
      <c r="H41" s="4" t="s">
        <v>43</v>
      </c>
      <c r="I41" s="4" t="s">
        <v>226</v>
      </c>
      <c r="J41" s="4" t="s">
        <v>17</v>
      </c>
    </row>
    <row r="42" spans="1:10" ht="45" customHeight="1" x14ac:dyDescent="0.25">
      <c r="A42" s="3" t="s">
        <v>227</v>
      </c>
      <c r="B42" s="3" t="s">
        <v>228</v>
      </c>
      <c r="C42" s="3" t="s">
        <v>229</v>
      </c>
      <c r="D42" s="3" t="s">
        <v>230</v>
      </c>
      <c r="E42" s="3" t="s">
        <v>231</v>
      </c>
      <c r="F42" s="3" t="s">
        <v>232</v>
      </c>
      <c r="G42" s="3" t="s">
        <v>15</v>
      </c>
      <c r="H42" s="3" t="s">
        <v>16</v>
      </c>
      <c r="I42" s="3" t="s">
        <v>233</v>
      </c>
      <c r="J42" s="3" t="s">
        <v>17</v>
      </c>
    </row>
    <row r="43" spans="1:10" ht="45" customHeight="1" x14ac:dyDescent="0.25">
      <c r="A43" s="4" t="s">
        <v>234</v>
      </c>
      <c r="B43" s="4" t="s">
        <v>228</v>
      </c>
      <c r="C43" s="4" t="s">
        <v>235</v>
      </c>
      <c r="D43" s="4" t="s">
        <v>236</v>
      </c>
      <c r="E43" s="4" t="s">
        <v>237</v>
      </c>
      <c r="F43" s="4" t="s">
        <v>238</v>
      </c>
      <c r="G43" s="4" t="s">
        <v>15</v>
      </c>
      <c r="H43" s="4" t="s">
        <v>16</v>
      </c>
      <c r="I43" s="4" t="s">
        <v>239</v>
      </c>
      <c r="J43" s="4" t="s">
        <v>17</v>
      </c>
    </row>
    <row r="44" spans="1:10" ht="45" customHeight="1" x14ac:dyDescent="0.25">
      <c r="A44" s="3" t="s">
        <v>240</v>
      </c>
      <c r="B44" s="3" t="s">
        <v>228</v>
      </c>
      <c r="C44" s="3" t="s">
        <v>241</v>
      </c>
      <c r="D44" s="3" t="s">
        <v>242</v>
      </c>
      <c r="E44" s="3" t="s">
        <v>243</v>
      </c>
      <c r="F44" s="3" t="s">
        <v>244</v>
      </c>
      <c r="G44" s="3" t="s">
        <v>15</v>
      </c>
      <c r="H44" s="3" t="s">
        <v>43</v>
      </c>
      <c r="I44" s="3" t="s">
        <v>245</v>
      </c>
      <c r="J44" s="3" t="s">
        <v>17</v>
      </c>
    </row>
    <row r="45" spans="1:10" ht="45" customHeight="1" x14ac:dyDescent="0.25">
      <c r="A45" s="4" t="s">
        <v>246</v>
      </c>
      <c r="B45" s="4" t="s">
        <v>228</v>
      </c>
      <c r="C45" s="4" t="s">
        <v>247</v>
      </c>
      <c r="D45" s="4" t="s">
        <v>248</v>
      </c>
      <c r="E45" s="4" t="s">
        <v>249</v>
      </c>
      <c r="F45" s="4" t="s">
        <v>250</v>
      </c>
      <c r="G45" s="4" t="s">
        <v>15</v>
      </c>
      <c r="H45" s="4" t="s">
        <v>43</v>
      </c>
      <c r="I45" s="4" t="s">
        <v>251</v>
      </c>
      <c r="J45" s="4" t="s">
        <v>17</v>
      </c>
    </row>
    <row r="46" spans="1:10" ht="45" customHeight="1" x14ac:dyDescent="0.25">
      <c r="A46" s="3" t="s">
        <v>252</v>
      </c>
      <c r="B46" s="3" t="s">
        <v>228</v>
      </c>
      <c r="C46" s="3" t="s">
        <v>253</v>
      </c>
      <c r="D46" s="3" t="s">
        <v>254</v>
      </c>
      <c r="E46" s="3" t="s">
        <v>255</v>
      </c>
      <c r="F46" s="3" t="s">
        <v>256</v>
      </c>
      <c r="G46" s="3" t="s">
        <v>118</v>
      </c>
      <c r="H46" s="3" t="s">
        <v>16</v>
      </c>
      <c r="I46" s="3" t="s">
        <v>257</v>
      </c>
      <c r="J46" s="3" t="s">
        <v>17</v>
      </c>
    </row>
    <row r="47" spans="1:10" ht="45" customHeight="1" x14ac:dyDescent="0.25">
      <c r="A47" s="4" t="s">
        <v>258</v>
      </c>
      <c r="B47" s="4" t="s">
        <v>228</v>
      </c>
      <c r="C47" s="4" t="s">
        <v>259</v>
      </c>
      <c r="D47" s="4" t="s">
        <v>260</v>
      </c>
      <c r="E47" s="4" t="s">
        <v>261</v>
      </c>
      <c r="F47" s="4" t="s">
        <v>262</v>
      </c>
      <c r="G47" s="4" t="s">
        <v>15</v>
      </c>
      <c r="H47" s="4" t="s">
        <v>43</v>
      </c>
      <c r="I47" s="4" t="s">
        <v>263</v>
      </c>
      <c r="J47" s="4" t="s">
        <v>17</v>
      </c>
    </row>
    <row r="48" spans="1:10" ht="45" customHeight="1" x14ac:dyDescent="0.25">
      <c r="A48" s="3" t="s">
        <v>264</v>
      </c>
      <c r="B48" s="3" t="s">
        <v>176</v>
      </c>
      <c r="C48" s="3" t="s">
        <v>265</v>
      </c>
      <c r="D48" s="3" t="s">
        <v>210</v>
      </c>
      <c r="E48" s="3" t="s">
        <v>266</v>
      </c>
      <c r="F48" s="3" t="s">
        <v>267</v>
      </c>
      <c r="G48" s="3" t="s">
        <v>15</v>
      </c>
      <c r="H48" s="3" t="s">
        <v>16</v>
      </c>
      <c r="I48" s="3" t="s">
        <v>268</v>
      </c>
      <c r="J48" s="3" t="s">
        <v>17</v>
      </c>
    </row>
    <row r="49" spans="1:10" ht="45" customHeight="1" x14ac:dyDescent="0.25">
      <c r="A49" s="4" t="s">
        <v>269</v>
      </c>
      <c r="B49" s="4" t="s">
        <v>176</v>
      </c>
      <c r="C49" s="4" t="s">
        <v>270</v>
      </c>
      <c r="D49" s="4" t="s">
        <v>47</v>
      </c>
      <c r="E49" s="4" t="s">
        <v>271</v>
      </c>
      <c r="F49" s="4" t="s">
        <v>272</v>
      </c>
      <c r="G49" s="4" t="s">
        <v>15</v>
      </c>
      <c r="H49" s="4" t="s">
        <v>43</v>
      </c>
      <c r="I49" s="4" t="s">
        <v>273</v>
      </c>
      <c r="J49" s="4" t="s">
        <v>17</v>
      </c>
    </row>
    <row r="50" spans="1:10" ht="45" customHeight="1" x14ac:dyDescent="0.25">
      <c r="A50" s="3" t="s">
        <v>274</v>
      </c>
      <c r="B50" s="3" t="s">
        <v>176</v>
      </c>
      <c r="C50" s="3" t="s">
        <v>275</v>
      </c>
      <c r="D50" s="3" t="s">
        <v>276</v>
      </c>
      <c r="E50" s="3" t="s">
        <v>277</v>
      </c>
      <c r="F50" s="3" t="s">
        <v>278</v>
      </c>
      <c r="G50" s="3" t="s">
        <v>15</v>
      </c>
      <c r="H50" s="3" t="s">
        <v>43</v>
      </c>
      <c r="I50" s="3" t="s">
        <v>279</v>
      </c>
      <c r="J50" s="3" t="s">
        <v>17</v>
      </c>
    </row>
    <row r="51" spans="1:10" ht="45" customHeight="1" x14ac:dyDescent="0.25">
      <c r="A51" s="4" t="s">
        <v>280</v>
      </c>
      <c r="B51" s="4" t="s">
        <v>176</v>
      </c>
      <c r="C51" s="4" t="s">
        <v>281</v>
      </c>
      <c r="D51" s="4" t="s">
        <v>22</v>
      </c>
      <c r="E51" s="4" t="s">
        <v>282</v>
      </c>
      <c r="F51" s="4" t="s">
        <v>283</v>
      </c>
      <c r="G51" s="4" t="s">
        <v>15</v>
      </c>
      <c r="H51" s="4" t="s">
        <v>43</v>
      </c>
      <c r="I51" s="4" t="s">
        <v>284</v>
      </c>
      <c r="J51" s="4" t="s">
        <v>17</v>
      </c>
    </row>
    <row r="52" spans="1:10" ht="45" customHeight="1" x14ac:dyDescent="0.25">
      <c r="A52" s="3" t="s">
        <v>285</v>
      </c>
      <c r="B52" s="3" t="s">
        <v>228</v>
      </c>
      <c r="C52" s="3" t="s">
        <v>286</v>
      </c>
      <c r="D52" s="3" t="s">
        <v>92</v>
      </c>
      <c r="E52" s="3" t="s">
        <v>287</v>
      </c>
      <c r="F52" s="3" t="s">
        <v>288</v>
      </c>
      <c r="G52" s="3" t="s">
        <v>15</v>
      </c>
      <c r="H52" s="3" t="s">
        <v>289</v>
      </c>
      <c r="I52" s="3" t="s">
        <v>290</v>
      </c>
      <c r="J52" s="3" t="s">
        <v>17</v>
      </c>
    </row>
    <row r="53" spans="1:10" ht="45" customHeight="1" x14ac:dyDescent="0.25">
      <c r="A53" s="4" t="s">
        <v>291</v>
      </c>
      <c r="B53" s="4" t="s">
        <v>228</v>
      </c>
      <c r="C53" s="4" t="s">
        <v>292</v>
      </c>
      <c r="D53" s="4" t="s">
        <v>92</v>
      </c>
      <c r="E53" s="4" t="s">
        <v>293</v>
      </c>
      <c r="F53" s="4" t="s">
        <v>288</v>
      </c>
      <c r="G53" s="4" t="s">
        <v>15</v>
      </c>
      <c r="H53" s="4" t="s">
        <v>43</v>
      </c>
      <c r="I53" s="4" t="s">
        <v>294</v>
      </c>
      <c r="J53" s="4" t="s">
        <v>17</v>
      </c>
    </row>
    <row r="54" spans="1:10" ht="45" customHeight="1" x14ac:dyDescent="0.25">
      <c r="A54" s="3" t="s">
        <v>295</v>
      </c>
      <c r="B54" s="3" t="s">
        <v>228</v>
      </c>
      <c r="C54" s="3" t="s">
        <v>296</v>
      </c>
      <c r="D54" s="3" t="s">
        <v>22</v>
      </c>
      <c r="E54" s="3" t="s">
        <v>297</v>
      </c>
      <c r="F54" s="3" t="s">
        <v>298</v>
      </c>
      <c r="G54" s="3" t="s">
        <v>15</v>
      </c>
      <c r="H54" s="3" t="s">
        <v>289</v>
      </c>
      <c r="I54" s="3" t="s">
        <v>299</v>
      </c>
      <c r="J54" s="3" t="s">
        <v>17</v>
      </c>
    </row>
    <row r="55" spans="1:10" ht="45" customHeight="1" x14ac:dyDescent="0.25">
      <c r="A55" s="4" t="s">
        <v>300</v>
      </c>
      <c r="B55" s="4" t="s">
        <v>301</v>
      </c>
      <c r="C55" s="4" t="s">
        <v>302</v>
      </c>
      <c r="D55" s="4" t="s">
        <v>105</v>
      </c>
      <c r="E55" s="4" t="s">
        <v>303</v>
      </c>
      <c r="F55" s="4" t="s">
        <v>304</v>
      </c>
      <c r="G55" s="4" t="s">
        <v>15</v>
      </c>
      <c r="H55" s="4" t="s">
        <v>43</v>
      </c>
      <c r="I55" s="4" t="s">
        <v>305</v>
      </c>
      <c r="J55" s="4" t="s">
        <v>17</v>
      </c>
    </row>
    <row r="56" spans="1:10" ht="45" customHeight="1" x14ac:dyDescent="0.25">
      <c r="A56" s="3" t="s">
        <v>306</v>
      </c>
      <c r="B56" s="3" t="s">
        <v>301</v>
      </c>
      <c r="C56" s="3" t="s">
        <v>307</v>
      </c>
      <c r="D56" s="3" t="s">
        <v>308</v>
      </c>
      <c r="E56" s="3" t="s">
        <v>309</v>
      </c>
      <c r="F56" s="3" t="s">
        <v>310</v>
      </c>
      <c r="G56" s="3" t="s">
        <v>15</v>
      </c>
      <c r="H56" s="3" t="s">
        <v>43</v>
      </c>
      <c r="I56" s="3" t="s">
        <v>311</v>
      </c>
      <c r="J56" s="3" t="s">
        <v>17</v>
      </c>
    </row>
    <row r="57" spans="1:10" ht="45" customHeight="1" x14ac:dyDescent="0.25">
      <c r="A57" s="4" t="s">
        <v>312</v>
      </c>
      <c r="B57" s="4" t="s">
        <v>301</v>
      </c>
      <c r="C57" s="4" t="s">
        <v>313</v>
      </c>
      <c r="D57" s="4" t="s">
        <v>22</v>
      </c>
      <c r="E57" s="4" t="s">
        <v>314</v>
      </c>
      <c r="F57" s="4" t="s">
        <v>315</v>
      </c>
      <c r="G57" s="4" t="s">
        <v>15</v>
      </c>
      <c r="H57" s="4" t="s">
        <v>43</v>
      </c>
      <c r="I57" s="5" t="s">
        <v>316</v>
      </c>
      <c r="J57" s="4" t="s">
        <v>17</v>
      </c>
    </row>
    <row r="58" spans="1:10" ht="45" customHeight="1" x14ac:dyDescent="0.25">
      <c r="A58" s="3" t="s">
        <v>317</v>
      </c>
      <c r="B58" s="3" t="s">
        <v>301</v>
      </c>
      <c r="C58" s="3" t="s">
        <v>318</v>
      </c>
      <c r="D58" s="3" t="s">
        <v>47</v>
      </c>
      <c r="E58" s="3" t="s">
        <v>319</v>
      </c>
      <c r="F58" s="3" t="s">
        <v>320</v>
      </c>
      <c r="G58" s="3" t="s">
        <v>15</v>
      </c>
      <c r="H58" s="3" t="s">
        <v>43</v>
      </c>
      <c r="I58" s="3" t="s">
        <v>321</v>
      </c>
      <c r="J58" s="3" t="s">
        <v>17</v>
      </c>
    </row>
    <row r="59" spans="1:10" ht="45" customHeight="1" x14ac:dyDescent="0.25">
      <c r="A59" s="4" t="s">
        <v>322</v>
      </c>
      <c r="B59" s="4" t="s">
        <v>301</v>
      </c>
      <c r="C59" s="4" t="s">
        <v>323</v>
      </c>
      <c r="D59" s="4" t="s">
        <v>324</v>
      </c>
      <c r="E59" s="4" t="s">
        <v>325</v>
      </c>
      <c r="F59" s="4" t="s">
        <v>326</v>
      </c>
      <c r="G59" s="4" t="s">
        <v>118</v>
      </c>
      <c r="H59" s="4" t="s">
        <v>16</v>
      </c>
      <c r="I59" s="4" t="s">
        <v>327</v>
      </c>
      <c r="J59" s="4" t="s">
        <v>17</v>
      </c>
    </row>
    <row r="60" spans="1:10" ht="45" customHeight="1" x14ac:dyDescent="0.25">
      <c r="A60" s="3" t="s">
        <v>328</v>
      </c>
      <c r="B60" s="3" t="s">
        <v>301</v>
      </c>
      <c r="C60" s="3" t="s">
        <v>329</v>
      </c>
      <c r="D60" s="3" t="s">
        <v>242</v>
      </c>
      <c r="E60" s="3" t="s">
        <v>330</v>
      </c>
      <c r="F60" s="3" t="s">
        <v>331</v>
      </c>
      <c r="G60" s="3" t="s">
        <v>15</v>
      </c>
      <c r="H60" s="3" t="s">
        <v>43</v>
      </c>
      <c r="I60" s="3" t="s">
        <v>332</v>
      </c>
      <c r="J60" s="3" t="s">
        <v>17</v>
      </c>
    </row>
    <row r="61" spans="1:10" ht="45" customHeight="1" x14ac:dyDescent="0.25">
      <c r="A61" s="4" t="s">
        <v>333</v>
      </c>
      <c r="B61" s="4" t="s">
        <v>301</v>
      </c>
      <c r="C61" s="4" t="s">
        <v>334</v>
      </c>
      <c r="D61" s="4" t="s">
        <v>335</v>
      </c>
      <c r="E61" s="4" t="s">
        <v>336</v>
      </c>
      <c r="F61" s="4" t="s">
        <v>337</v>
      </c>
      <c r="G61" s="4" t="s">
        <v>15</v>
      </c>
      <c r="H61" s="4" t="s">
        <v>43</v>
      </c>
      <c r="I61" s="4" t="s">
        <v>338</v>
      </c>
      <c r="J61" s="4" t="s">
        <v>17</v>
      </c>
    </row>
    <row r="62" spans="1:10" ht="45" customHeight="1" x14ac:dyDescent="0.25">
      <c r="A62" s="3" t="s">
        <v>339</v>
      </c>
      <c r="B62" s="3" t="s">
        <v>301</v>
      </c>
      <c r="C62" s="3" t="s">
        <v>340</v>
      </c>
      <c r="D62" s="3" t="s">
        <v>324</v>
      </c>
      <c r="E62" s="3" t="s">
        <v>341</v>
      </c>
      <c r="F62" s="3" t="s">
        <v>342</v>
      </c>
      <c r="G62" s="3" t="s">
        <v>15</v>
      </c>
      <c r="H62" s="3" t="s">
        <v>16</v>
      </c>
      <c r="I62" s="3" t="s">
        <v>343</v>
      </c>
      <c r="J62" s="3" t="s">
        <v>17</v>
      </c>
    </row>
    <row r="63" spans="1:10" ht="45" customHeight="1" x14ac:dyDescent="0.25">
      <c r="A63" s="4" t="s">
        <v>344</v>
      </c>
      <c r="B63" s="4" t="s">
        <v>301</v>
      </c>
      <c r="C63" s="4" t="s">
        <v>345</v>
      </c>
      <c r="D63" s="4" t="s">
        <v>324</v>
      </c>
      <c r="E63" s="4" t="s">
        <v>346</v>
      </c>
      <c r="F63" s="4" t="s">
        <v>347</v>
      </c>
      <c r="G63" s="4" t="s">
        <v>15</v>
      </c>
      <c r="H63" s="4" t="s">
        <v>16</v>
      </c>
      <c r="I63" s="4" t="s">
        <v>348</v>
      </c>
      <c r="J63" s="4" t="s">
        <v>17</v>
      </c>
    </row>
    <row r="64" spans="1:10" ht="45" customHeight="1" x14ac:dyDescent="0.25">
      <c r="A64" s="3" t="s">
        <v>349</v>
      </c>
      <c r="B64" s="3" t="s">
        <v>301</v>
      </c>
      <c r="C64" s="3" t="s">
        <v>350</v>
      </c>
      <c r="D64" s="3" t="s">
        <v>351</v>
      </c>
      <c r="E64" s="3" t="s">
        <v>352</v>
      </c>
      <c r="F64" s="3" t="s">
        <v>353</v>
      </c>
      <c r="G64" s="3" t="s">
        <v>15</v>
      </c>
      <c r="H64" s="3" t="s">
        <v>289</v>
      </c>
      <c r="I64" s="3" t="s">
        <v>354</v>
      </c>
      <c r="J64" s="3" t="s">
        <v>17</v>
      </c>
    </row>
    <row r="65" spans="1:10" ht="45" customHeight="1" x14ac:dyDescent="0.25">
      <c r="A65" s="4" t="s">
        <v>355</v>
      </c>
      <c r="B65" s="4" t="s">
        <v>301</v>
      </c>
      <c r="C65" s="4" t="s">
        <v>356</v>
      </c>
      <c r="D65" s="4" t="s">
        <v>351</v>
      </c>
      <c r="E65" s="4" t="s">
        <v>357</v>
      </c>
      <c r="F65" s="4" t="s">
        <v>358</v>
      </c>
      <c r="G65" s="4" t="s">
        <v>15</v>
      </c>
      <c r="H65" s="4" t="s">
        <v>289</v>
      </c>
      <c r="I65" s="4" t="s">
        <v>359</v>
      </c>
      <c r="J65" s="4" t="s">
        <v>17</v>
      </c>
    </row>
    <row r="66" spans="1:10" ht="45" customHeight="1" x14ac:dyDescent="0.25">
      <c r="A66" s="3" t="s">
        <v>360</v>
      </c>
      <c r="B66" s="3" t="s">
        <v>301</v>
      </c>
      <c r="C66" s="3" t="s">
        <v>361</v>
      </c>
      <c r="D66" s="3" t="s">
        <v>362</v>
      </c>
      <c r="E66" s="3" t="s">
        <v>363</v>
      </c>
      <c r="F66" s="3" t="s">
        <v>364</v>
      </c>
      <c r="G66" s="3" t="s">
        <v>15</v>
      </c>
      <c r="H66" s="3" t="s">
        <v>289</v>
      </c>
      <c r="I66" s="3" t="s">
        <v>365</v>
      </c>
      <c r="J66" s="3" t="s">
        <v>17</v>
      </c>
    </row>
    <row r="67" spans="1:10" ht="45" customHeight="1" x14ac:dyDescent="0.25">
      <c r="A67" s="4" t="s">
        <v>366</v>
      </c>
      <c r="B67" s="4" t="s">
        <v>301</v>
      </c>
      <c r="C67" s="4" t="s">
        <v>367</v>
      </c>
      <c r="D67" s="4" t="s">
        <v>368</v>
      </c>
      <c r="E67" s="4" t="s">
        <v>369</v>
      </c>
      <c r="F67" s="4" t="s">
        <v>370</v>
      </c>
      <c r="G67" s="4" t="s">
        <v>15</v>
      </c>
      <c r="H67" s="4" t="s">
        <v>43</v>
      </c>
      <c r="I67" s="4" t="s">
        <v>371</v>
      </c>
      <c r="J67" s="4" t="s">
        <v>17</v>
      </c>
    </row>
    <row r="68" spans="1:10" ht="45" customHeight="1" x14ac:dyDescent="0.25">
      <c r="A68" s="3" t="s">
        <v>372</v>
      </c>
      <c r="B68" s="3" t="s">
        <v>301</v>
      </c>
      <c r="C68" s="3" t="s">
        <v>373</v>
      </c>
      <c r="D68" s="3" t="s">
        <v>324</v>
      </c>
      <c r="E68" s="3" t="s">
        <v>374</v>
      </c>
      <c r="F68" s="3" t="s">
        <v>375</v>
      </c>
      <c r="G68" s="3" t="s">
        <v>15</v>
      </c>
      <c r="H68" s="3" t="s">
        <v>43</v>
      </c>
      <c r="I68" s="3" t="s">
        <v>376</v>
      </c>
      <c r="J68" s="3" t="s">
        <v>17</v>
      </c>
    </row>
    <row r="69" spans="1:10" ht="45" customHeight="1" x14ac:dyDescent="0.25">
      <c r="A69" s="4" t="s">
        <v>377</v>
      </c>
      <c r="B69" s="4" t="s">
        <v>301</v>
      </c>
      <c r="C69" s="4" t="s">
        <v>378</v>
      </c>
      <c r="D69" s="4" t="s">
        <v>92</v>
      </c>
      <c r="E69" s="4" t="s">
        <v>379</v>
      </c>
      <c r="F69" s="4" t="s">
        <v>380</v>
      </c>
      <c r="G69" s="4" t="s">
        <v>15</v>
      </c>
      <c r="H69" s="4" t="s">
        <v>43</v>
      </c>
      <c r="I69" s="4" t="s">
        <v>381</v>
      </c>
      <c r="J69" s="4" t="s">
        <v>17</v>
      </c>
    </row>
    <row r="70" spans="1:10" ht="45" customHeight="1" x14ac:dyDescent="0.25">
      <c r="A70" s="3" t="s">
        <v>382</v>
      </c>
      <c r="B70" s="3" t="s">
        <v>301</v>
      </c>
      <c r="C70" s="3" t="s">
        <v>383</v>
      </c>
      <c r="D70" s="3" t="s">
        <v>92</v>
      </c>
      <c r="E70" s="3" t="s">
        <v>384</v>
      </c>
      <c r="F70" s="3" t="s">
        <v>380</v>
      </c>
      <c r="G70" s="3" t="s">
        <v>15</v>
      </c>
      <c r="H70" s="3" t="s">
        <v>289</v>
      </c>
      <c r="I70" s="3" t="s">
        <v>385</v>
      </c>
      <c r="J70" s="3" t="s">
        <v>17</v>
      </c>
    </row>
    <row r="71" spans="1:10" ht="45" customHeight="1" x14ac:dyDescent="0.25">
      <c r="A71" s="4" t="s">
        <v>386</v>
      </c>
      <c r="B71" s="4" t="s">
        <v>301</v>
      </c>
      <c r="C71" s="4" t="s">
        <v>387</v>
      </c>
      <c r="D71" s="4" t="s">
        <v>92</v>
      </c>
      <c r="E71" s="4" t="s">
        <v>388</v>
      </c>
      <c r="F71" s="4" t="s">
        <v>380</v>
      </c>
      <c r="G71" s="4" t="s">
        <v>15</v>
      </c>
      <c r="H71" s="4" t="s">
        <v>289</v>
      </c>
      <c r="I71" s="4" t="s">
        <v>389</v>
      </c>
      <c r="J71" s="4" t="s">
        <v>17</v>
      </c>
    </row>
    <row r="72" spans="1:10" ht="45" customHeight="1" x14ac:dyDescent="0.25">
      <c r="A72" s="3" t="s">
        <v>390</v>
      </c>
      <c r="B72" s="3" t="s">
        <v>301</v>
      </c>
      <c r="C72" s="3" t="s">
        <v>391</v>
      </c>
      <c r="D72" s="3" t="s">
        <v>392</v>
      </c>
      <c r="E72" s="3" t="s">
        <v>393</v>
      </c>
      <c r="F72" s="3" t="s">
        <v>394</v>
      </c>
      <c r="G72" s="3" t="s">
        <v>118</v>
      </c>
      <c r="H72" s="3" t="s">
        <v>16</v>
      </c>
      <c r="I72" s="3" t="s">
        <v>395</v>
      </c>
      <c r="J72" s="3" t="s">
        <v>17</v>
      </c>
    </row>
    <row r="73" spans="1:10" ht="45" customHeight="1" x14ac:dyDescent="0.25">
      <c r="A73" s="4" t="s">
        <v>396</v>
      </c>
      <c r="B73" s="4" t="s">
        <v>301</v>
      </c>
      <c r="C73" s="4" t="s">
        <v>397</v>
      </c>
      <c r="D73" s="4" t="s">
        <v>398</v>
      </c>
      <c r="E73" s="4" t="s">
        <v>399</v>
      </c>
      <c r="F73" s="4" t="s">
        <v>394</v>
      </c>
      <c r="G73" s="4" t="s">
        <v>118</v>
      </c>
      <c r="H73" s="4" t="s">
        <v>16</v>
      </c>
      <c r="I73" s="4" t="s">
        <v>400</v>
      </c>
      <c r="J73" s="4" t="s">
        <v>17</v>
      </c>
    </row>
    <row r="74" spans="1:10" ht="45" customHeight="1" x14ac:dyDescent="0.25">
      <c r="A74" s="3" t="s">
        <v>401</v>
      </c>
      <c r="B74" s="3" t="s">
        <v>301</v>
      </c>
      <c r="C74" s="3" t="s">
        <v>323</v>
      </c>
      <c r="D74" s="3" t="s">
        <v>260</v>
      </c>
      <c r="E74" s="3" t="s">
        <v>402</v>
      </c>
      <c r="F74" s="3" t="s">
        <v>375</v>
      </c>
      <c r="G74" s="3" t="s">
        <v>15</v>
      </c>
      <c r="H74" s="3" t="s">
        <v>43</v>
      </c>
      <c r="I74" s="3" t="s">
        <v>403</v>
      </c>
      <c r="J74" s="3" t="s">
        <v>17</v>
      </c>
    </row>
    <row r="75" spans="1:10" ht="45" customHeight="1" x14ac:dyDescent="0.25">
      <c r="A75" s="4" t="s">
        <v>404</v>
      </c>
      <c r="B75" s="4" t="s">
        <v>301</v>
      </c>
      <c r="C75" s="4" t="s">
        <v>405</v>
      </c>
      <c r="D75" s="4" t="s">
        <v>204</v>
      </c>
      <c r="E75" s="4" t="s">
        <v>406</v>
      </c>
      <c r="F75" s="4" t="s">
        <v>394</v>
      </c>
      <c r="G75" s="4" t="s">
        <v>15</v>
      </c>
      <c r="H75" s="4" t="s">
        <v>43</v>
      </c>
      <c r="I75" s="4" t="s">
        <v>407</v>
      </c>
      <c r="J75" s="4" t="s">
        <v>17</v>
      </c>
    </row>
    <row r="76" spans="1:10" ht="45" customHeight="1" x14ac:dyDescent="0.25">
      <c r="A76" s="3" t="s">
        <v>408</v>
      </c>
      <c r="B76" s="3" t="s">
        <v>301</v>
      </c>
      <c r="C76" s="3" t="s">
        <v>409</v>
      </c>
      <c r="D76" s="3" t="s">
        <v>92</v>
      </c>
      <c r="E76" s="3" t="s">
        <v>410</v>
      </c>
      <c r="F76" s="3" t="s">
        <v>298</v>
      </c>
      <c r="G76" s="3" t="s">
        <v>15</v>
      </c>
      <c r="H76" s="3" t="s">
        <v>43</v>
      </c>
      <c r="I76" s="3" t="s">
        <v>411</v>
      </c>
      <c r="J76" s="3" t="s">
        <v>17</v>
      </c>
    </row>
    <row r="77" spans="1:10" ht="45" customHeight="1" x14ac:dyDescent="0.25">
      <c r="A77" s="4" t="s">
        <v>412</v>
      </c>
      <c r="B77" s="4" t="s">
        <v>301</v>
      </c>
      <c r="C77" s="4" t="s">
        <v>413</v>
      </c>
      <c r="D77" s="4" t="s">
        <v>92</v>
      </c>
      <c r="E77" s="4" t="s">
        <v>414</v>
      </c>
      <c r="F77" s="4" t="s">
        <v>298</v>
      </c>
      <c r="G77" s="4" t="s">
        <v>15</v>
      </c>
      <c r="H77" s="4" t="s">
        <v>43</v>
      </c>
      <c r="I77" s="4" t="s">
        <v>415</v>
      </c>
      <c r="J77" s="4" t="s">
        <v>17</v>
      </c>
    </row>
    <row r="78" spans="1:10" ht="45" customHeight="1" x14ac:dyDescent="0.25">
      <c r="A78" s="3" t="s">
        <v>416</v>
      </c>
      <c r="B78" s="3" t="s">
        <v>301</v>
      </c>
      <c r="C78" s="3" t="s">
        <v>413</v>
      </c>
      <c r="D78" s="3" t="s">
        <v>92</v>
      </c>
      <c r="E78" s="3" t="s">
        <v>417</v>
      </c>
      <c r="F78" s="3" t="s">
        <v>298</v>
      </c>
      <c r="G78" s="3" t="s">
        <v>15</v>
      </c>
      <c r="H78" s="3" t="s">
        <v>43</v>
      </c>
      <c r="I78" s="3" t="s">
        <v>418</v>
      </c>
      <c r="J78" s="3" t="s">
        <v>17</v>
      </c>
    </row>
    <row r="79" spans="1:10" ht="45" customHeight="1" x14ac:dyDescent="0.25">
      <c r="A79" s="4" t="s">
        <v>419</v>
      </c>
      <c r="B79" s="4" t="s">
        <v>420</v>
      </c>
      <c r="C79" s="4" t="s">
        <v>421</v>
      </c>
      <c r="D79" s="4" t="s">
        <v>422</v>
      </c>
      <c r="E79" s="4" t="s">
        <v>423</v>
      </c>
      <c r="F79" s="4" t="s">
        <v>424</v>
      </c>
      <c r="G79" s="4" t="s">
        <v>15</v>
      </c>
      <c r="H79" s="4" t="s">
        <v>16</v>
      </c>
      <c r="I79" s="4" t="s">
        <v>425</v>
      </c>
      <c r="J79" s="4" t="s">
        <v>17</v>
      </c>
    </row>
    <row r="80" spans="1:10" ht="45" customHeight="1" x14ac:dyDescent="0.25">
      <c r="A80" s="3" t="s">
        <v>426</v>
      </c>
      <c r="B80" s="3" t="s">
        <v>420</v>
      </c>
      <c r="C80" s="3" t="s">
        <v>427</v>
      </c>
      <c r="D80" s="3" t="s">
        <v>428</v>
      </c>
      <c r="E80" s="3" t="s">
        <v>429</v>
      </c>
      <c r="F80" s="3" t="s">
        <v>430</v>
      </c>
      <c r="G80" s="3" t="s">
        <v>15</v>
      </c>
      <c r="H80" s="3" t="s">
        <v>43</v>
      </c>
      <c r="I80" s="3" t="s">
        <v>431</v>
      </c>
      <c r="J80" s="3" t="s">
        <v>17</v>
      </c>
    </row>
    <row r="81" spans="1:10" ht="45" customHeight="1" x14ac:dyDescent="0.25">
      <c r="A81" s="4" t="s">
        <v>432</v>
      </c>
      <c r="B81" s="4" t="s">
        <v>420</v>
      </c>
      <c r="C81" s="4" t="s">
        <v>433</v>
      </c>
      <c r="D81" s="4" t="s">
        <v>22</v>
      </c>
      <c r="E81" s="4" t="s">
        <v>434</v>
      </c>
      <c r="F81" s="4" t="s">
        <v>435</v>
      </c>
      <c r="G81" s="4" t="s">
        <v>15</v>
      </c>
      <c r="H81" s="4" t="s">
        <v>43</v>
      </c>
      <c r="I81" s="4" t="s">
        <v>436</v>
      </c>
      <c r="J81" s="4" t="s">
        <v>17</v>
      </c>
    </row>
    <row r="82" spans="1:10" ht="45" customHeight="1" x14ac:dyDescent="0.25">
      <c r="A82" s="3" t="s">
        <v>437</v>
      </c>
      <c r="B82" s="3" t="s">
        <v>420</v>
      </c>
      <c r="C82" s="3" t="s">
        <v>438</v>
      </c>
      <c r="D82" s="3" t="s">
        <v>260</v>
      </c>
      <c r="E82" s="3" t="s">
        <v>439</v>
      </c>
      <c r="F82" s="3" t="s">
        <v>440</v>
      </c>
      <c r="G82" s="3" t="s">
        <v>15</v>
      </c>
      <c r="H82" s="3" t="s">
        <v>43</v>
      </c>
      <c r="I82" s="3" t="s">
        <v>441</v>
      </c>
      <c r="J82" s="3" t="s">
        <v>17</v>
      </c>
    </row>
    <row r="83" spans="1:10" ht="45" customHeight="1" x14ac:dyDescent="0.25">
      <c r="A83" s="4" t="s">
        <v>442</v>
      </c>
      <c r="B83" s="4" t="s">
        <v>420</v>
      </c>
      <c r="C83" s="4" t="s">
        <v>443</v>
      </c>
      <c r="D83" s="4" t="s">
        <v>324</v>
      </c>
      <c r="E83" s="4" t="s">
        <v>444</v>
      </c>
      <c r="F83" s="4" t="s">
        <v>445</v>
      </c>
      <c r="G83" s="4" t="s">
        <v>15</v>
      </c>
      <c r="H83" s="4" t="s">
        <v>43</v>
      </c>
      <c r="I83" s="4" t="s">
        <v>446</v>
      </c>
      <c r="J83" s="4" t="s">
        <v>17</v>
      </c>
    </row>
    <row r="84" spans="1:10" ht="45" customHeight="1" x14ac:dyDescent="0.25">
      <c r="A84" s="3" t="s">
        <v>447</v>
      </c>
      <c r="B84" s="3" t="s">
        <v>420</v>
      </c>
      <c r="C84" s="3" t="s">
        <v>448</v>
      </c>
      <c r="D84" s="3" t="s">
        <v>449</v>
      </c>
      <c r="E84" s="3" t="s">
        <v>450</v>
      </c>
      <c r="F84" s="3" t="s">
        <v>451</v>
      </c>
      <c r="G84" s="3" t="s">
        <v>15</v>
      </c>
      <c r="H84" s="3" t="s">
        <v>289</v>
      </c>
      <c r="I84" s="3" t="s">
        <v>452</v>
      </c>
      <c r="J84" s="3" t="s">
        <v>17</v>
      </c>
    </row>
    <row r="85" spans="1:10" ht="45" customHeight="1" x14ac:dyDescent="0.25">
      <c r="A85" s="4" t="s">
        <v>453</v>
      </c>
      <c r="B85" s="4" t="s">
        <v>420</v>
      </c>
      <c r="C85" s="4" t="s">
        <v>454</v>
      </c>
      <c r="D85" s="4" t="s">
        <v>22</v>
      </c>
      <c r="E85" s="4" t="s">
        <v>455</v>
      </c>
      <c r="F85" s="4" t="s">
        <v>456</v>
      </c>
      <c r="G85" s="4" t="s">
        <v>15</v>
      </c>
      <c r="H85" s="4" t="s">
        <v>43</v>
      </c>
      <c r="I85" s="4" t="s">
        <v>457</v>
      </c>
      <c r="J85" s="4" t="s">
        <v>17</v>
      </c>
    </row>
    <row r="86" spans="1:10" ht="45" customHeight="1" x14ac:dyDescent="0.25">
      <c r="A86" s="3" t="s">
        <v>458</v>
      </c>
      <c r="B86" s="3" t="s">
        <v>420</v>
      </c>
      <c r="C86" s="3" t="s">
        <v>459</v>
      </c>
      <c r="D86" s="3" t="s">
        <v>362</v>
      </c>
      <c r="E86" s="3" t="s">
        <v>460</v>
      </c>
      <c r="F86" s="3" t="s">
        <v>461</v>
      </c>
      <c r="G86" s="3" t="s">
        <v>15</v>
      </c>
      <c r="H86" s="3" t="s">
        <v>289</v>
      </c>
      <c r="I86" s="3" t="s">
        <v>462</v>
      </c>
      <c r="J86" s="3" t="s">
        <v>17</v>
      </c>
    </row>
    <row r="87" spans="1:10" ht="45" customHeight="1" x14ac:dyDescent="0.25">
      <c r="A87" s="4" t="s">
        <v>463</v>
      </c>
      <c r="B87" s="4" t="s">
        <v>420</v>
      </c>
      <c r="C87" s="4" t="s">
        <v>464</v>
      </c>
      <c r="D87" s="4" t="s">
        <v>362</v>
      </c>
      <c r="E87" s="4" t="s">
        <v>465</v>
      </c>
      <c r="F87" s="4" t="s">
        <v>461</v>
      </c>
      <c r="G87" s="4" t="s">
        <v>15</v>
      </c>
      <c r="H87" s="4" t="s">
        <v>289</v>
      </c>
      <c r="I87" s="4" t="s">
        <v>466</v>
      </c>
      <c r="J87" s="4" t="s">
        <v>17</v>
      </c>
    </row>
    <row r="88" spans="1:10" ht="45" customHeight="1" x14ac:dyDescent="0.25">
      <c r="A88" s="3" t="s">
        <v>467</v>
      </c>
      <c r="B88" s="3" t="s">
        <v>420</v>
      </c>
      <c r="C88" s="3" t="s">
        <v>468</v>
      </c>
      <c r="D88" s="3" t="s">
        <v>260</v>
      </c>
      <c r="E88" s="3" t="s">
        <v>469</v>
      </c>
      <c r="F88" s="3" t="s">
        <v>470</v>
      </c>
      <c r="G88" s="3" t="s">
        <v>15</v>
      </c>
      <c r="H88" s="3" t="s">
        <v>289</v>
      </c>
      <c r="I88" s="3" t="s">
        <v>471</v>
      </c>
      <c r="J88" s="3" t="s">
        <v>17</v>
      </c>
    </row>
    <row r="89" spans="1:10" ht="45" customHeight="1" x14ac:dyDescent="0.25">
      <c r="A89" s="4" t="s">
        <v>472</v>
      </c>
      <c r="B89" s="4" t="s">
        <v>473</v>
      </c>
      <c r="C89" s="4" t="s">
        <v>474</v>
      </c>
      <c r="D89" s="4" t="s">
        <v>475</v>
      </c>
      <c r="E89" s="4" t="s">
        <v>476</v>
      </c>
      <c r="F89" s="4" t="s">
        <v>477</v>
      </c>
      <c r="G89" s="4" t="s">
        <v>15</v>
      </c>
      <c r="H89" s="4" t="s">
        <v>16</v>
      </c>
      <c r="I89" s="4" t="s">
        <v>478</v>
      </c>
      <c r="J89" s="4" t="s">
        <v>17</v>
      </c>
    </row>
    <row r="90" spans="1:10" ht="45" customHeight="1" x14ac:dyDescent="0.25">
      <c r="A90" s="3" t="s">
        <v>479</v>
      </c>
      <c r="B90" s="3" t="s">
        <v>473</v>
      </c>
      <c r="C90" s="3" t="s">
        <v>480</v>
      </c>
      <c r="D90" s="3" t="s">
        <v>481</v>
      </c>
      <c r="E90" s="3" t="s">
        <v>482</v>
      </c>
      <c r="F90" s="3" t="s">
        <v>483</v>
      </c>
      <c r="G90" s="3" t="s">
        <v>15</v>
      </c>
      <c r="H90" s="3" t="s">
        <v>43</v>
      </c>
      <c r="I90" s="3" t="s">
        <v>484</v>
      </c>
      <c r="J90" s="3" t="s">
        <v>17</v>
      </c>
    </row>
    <row r="91" spans="1:10" ht="45" customHeight="1" x14ac:dyDescent="0.25">
      <c r="A91" s="4" t="s">
        <v>485</v>
      </c>
      <c r="B91" s="4" t="s">
        <v>473</v>
      </c>
      <c r="C91" s="4" t="s">
        <v>480</v>
      </c>
      <c r="D91" s="4" t="s">
        <v>260</v>
      </c>
      <c r="E91" s="4" t="s">
        <v>486</v>
      </c>
      <c r="F91" s="4" t="s">
        <v>487</v>
      </c>
      <c r="G91" s="4" t="s">
        <v>15</v>
      </c>
      <c r="H91" s="4" t="s">
        <v>43</v>
      </c>
      <c r="I91" s="4" t="s">
        <v>488</v>
      </c>
      <c r="J91" s="4" t="s">
        <v>17</v>
      </c>
    </row>
    <row r="92" spans="1:10" ht="45" customHeight="1" x14ac:dyDescent="0.25">
      <c r="A92" s="3" t="s">
        <v>489</v>
      </c>
      <c r="B92" s="3" t="s">
        <v>473</v>
      </c>
      <c r="C92" s="3" t="s">
        <v>490</v>
      </c>
      <c r="D92" s="3" t="s">
        <v>115</v>
      </c>
      <c r="E92" s="3" t="s">
        <v>491</v>
      </c>
      <c r="F92" s="3" t="s">
        <v>492</v>
      </c>
      <c r="G92" s="3" t="s">
        <v>118</v>
      </c>
      <c r="H92" s="3" t="s">
        <v>16</v>
      </c>
      <c r="I92" s="3" t="s">
        <v>493</v>
      </c>
      <c r="J92" s="3" t="s">
        <v>17</v>
      </c>
    </row>
    <row r="93" spans="1:10" ht="45" customHeight="1" x14ac:dyDescent="0.25">
      <c r="A93" s="4" t="s">
        <v>494</v>
      </c>
      <c r="B93" s="4" t="s">
        <v>473</v>
      </c>
      <c r="C93" s="4" t="s">
        <v>495</v>
      </c>
      <c r="D93" s="4" t="s">
        <v>115</v>
      </c>
      <c r="E93" s="4" t="s">
        <v>496</v>
      </c>
      <c r="F93" s="4" t="s">
        <v>497</v>
      </c>
      <c r="G93" s="4" t="s">
        <v>118</v>
      </c>
      <c r="H93" s="4" t="s">
        <v>16</v>
      </c>
      <c r="I93" s="4" t="s">
        <v>498</v>
      </c>
      <c r="J93" s="4" t="s">
        <v>17</v>
      </c>
    </row>
    <row r="94" spans="1:10" ht="45" customHeight="1" x14ac:dyDescent="0.25">
      <c r="A94" s="3" t="s">
        <v>499</v>
      </c>
      <c r="B94" s="3" t="s">
        <v>473</v>
      </c>
      <c r="C94" s="3" t="s">
        <v>480</v>
      </c>
      <c r="D94" s="3" t="s">
        <v>500</v>
      </c>
      <c r="E94" s="3" t="s">
        <v>501</v>
      </c>
      <c r="F94" s="3" t="s">
        <v>502</v>
      </c>
      <c r="G94" s="3" t="s">
        <v>15</v>
      </c>
      <c r="H94" s="3" t="s">
        <v>43</v>
      </c>
      <c r="I94" s="3" t="s">
        <v>503</v>
      </c>
      <c r="J94" s="3" t="s">
        <v>17</v>
      </c>
    </row>
    <row r="95" spans="1:10" ht="45" customHeight="1" x14ac:dyDescent="0.25">
      <c r="A95" s="4" t="s">
        <v>504</v>
      </c>
      <c r="B95" s="4" t="s">
        <v>473</v>
      </c>
      <c r="C95" s="4" t="s">
        <v>480</v>
      </c>
      <c r="D95" s="4" t="s">
        <v>260</v>
      </c>
      <c r="E95" s="4" t="s">
        <v>505</v>
      </c>
      <c r="F95" s="4" t="s">
        <v>506</v>
      </c>
      <c r="G95" s="4" t="s">
        <v>15</v>
      </c>
      <c r="H95" s="4" t="s">
        <v>43</v>
      </c>
      <c r="I95" s="4" t="s">
        <v>507</v>
      </c>
      <c r="J95" s="4" t="s">
        <v>17</v>
      </c>
    </row>
    <row r="96" spans="1:10" ht="45" customHeight="1" x14ac:dyDescent="0.25">
      <c r="A96" s="3" t="s">
        <v>508</v>
      </c>
      <c r="B96" s="3" t="s">
        <v>473</v>
      </c>
      <c r="C96" s="3" t="s">
        <v>509</v>
      </c>
      <c r="D96" s="3" t="s">
        <v>510</v>
      </c>
      <c r="E96" s="3" t="s">
        <v>511</v>
      </c>
      <c r="F96" s="3" t="s">
        <v>512</v>
      </c>
      <c r="G96" s="3" t="s">
        <v>15</v>
      </c>
      <c r="H96" s="3" t="s">
        <v>289</v>
      </c>
      <c r="I96" s="3" t="s">
        <v>513</v>
      </c>
      <c r="J96" s="3" t="s">
        <v>17</v>
      </c>
    </row>
    <row r="97" spans="1:10" ht="45" customHeight="1" x14ac:dyDescent="0.25">
      <c r="A97" s="4" t="s">
        <v>514</v>
      </c>
      <c r="B97" s="4" t="s">
        <v>473</v>
      </c>
      <c r="C97" s="4" t="s">
        <v>515</v>
      </c>
      <c r="D97" s="4" t="s">
        <v>236</v>
      </c>
      <c r="E97" s="4" t="s">
        <v>516</v>
      </c>
      <c r="F97" s="4" t="s">
        <v>517</v>
      </c>
      <c r="G97" s="4" t="s">
        <v>15</v>
      </c>
      <c r="H97" s="4" t="s">
        <v>289</v>
      </c>
      <c r="I97" s="4" t="s">
        <v>518</v>
      </c>
      <c r="J97" s="4" t="s">
        <v>17</v>
      </c>
    </row>
    <row r="98" spans="1:10" ht="45" customHeight="1" x14ac:dyDescent="0.25">
      <c r="A98" s="3" t="s">
        <v>519</v>
      </c>
      <c r="B98" s="3" t="s">
        <v>520</v>
      </c>
      <c r="C98" s="3" t="s">
        <v>521</v>
      </c>
      <c r="D98" s="3" t="s">
        <v>40</v>
      </c>
      <c r="E98" s="3" t="s">
        <v>522</v>
      </c>
      <c r="F98" s="3" t="s">
        <v>523</v>
      </c>
      <c r="G98" s="3" t="s">
        <v>15</v>
      </c>
      <c r="H98" s="3" t="s">
        <v>16</v>
      </c>
      <c r="I98" s="3" t="s">
        <v>524</v>
      </c>
      <c r="J98" s="3" t="s">
        <v>17</v>
      </c>
    </row>
    <row r="99" spans="1:10" ht="45" customHeight="1" x14ac:dyDescent="0.25">
      <c r="A99" s="4" t="s">
        <v>525</v>
      </c>
      <c r="B99" s="4" t="s">
        <v>520</v>
      </c>
      <c r="C99" s="4" t="s">
        <v>526</v>
      </c>
      <c r="D99" s="4" t="s">
        <v>22</v>
      </c>
      <c r="E99" s="4" t="s">
        <v>527</v>
      </c>
      <c r="F99" s="4" t="s">
        <v>528</v>
      </c>
      <c r="G99" s="4" t="s">
        <v>15</v>
      </c>
      <c r="H99" s="4" t="s">
        <v>16</v>
      </c>
      <c r="I99" s="4" t="s">
        <v>529</v>
      </c>
      <c r="J99" s="4" t="s">
        <v>17</v>
      </c>
    </row>
    <row r="100" spans="1:10" ht="45" customHeight="1" x14ac:dyDescent="0.25">
      <c r="A100" s="3" t="s">
        <v>530</v>
      </c>
      <c r="B100" s="3" t="s">
        <v>520</v>
      </c>
      <c r="C100" s="3" t="s">
        <v>531</v>
      </c>
      <c r="D100" s="3" t="s">
        <v>532</v>
      </c>
      <c r="E100" s="3" t="s">
        <v>533</v>
      </c>
      <c r="F100" s="3" t="s">
        <v>534</v>
      </c>
      <c r="G100" s="3" t="s">
        <v>118</v>
      </c>
      <c r="H100" s="3" t="s">
        <v>16</v>
      </c>
      <c r="I100" s="3" t="s">
        <v>535</v>
      </c>
      <c r="J100" s="3" t="s">
        <v>17</v>
      </c>
    </row>
    <row r="101" spans="1:10" ht="45" customHeight="1" x14ac:dyDescent="0.25">
      <c r="A101" s="4" t="s">
        <v>536</v>
      </c>
      <c r="B101" s="4" t="s">
        <v>520</v>
      </c>
      <c r="C101" s="4" t="s">
        <v>537</v>
      </c>
      <c r="D101" s="4" t="s">
        <v>22</v>
      </c>
      <c r="E101" s="4" t="s">
        <v>538</v>
      </c>
      <c r="F101" s="4" t="s">
        <v>539</v>
      </c>
      <c r="G101" s="4" t="s">
        <v>15</v>
      </c>
      <c r="H101" s="4" t="s">
        <v>16</v>
      </c>
      <c r="I101" s="4" t="s">
        <v>540</v>
      </c>
      <c r="J101" s="4" t="s">
        <v>17</v>
      </c>
    </row>
    <row r="102" spans="1:10" ht="45" customHeight="1" x14ac:dyDescent="0.25">
      <c r="A102" s="3" t="s">
        <v>541</v>
      </c>
      <c r="B102" s="3" t="s">
        <v>520</v>
      </c>
      <c r="C102" s="3" t="s">
        <v>542</v>
      </c>
      <c r="D102" s="3" t="s">
        <v>13</v>
      </c>
      <c r="E102" s="3" t="s">
        <v>543</v>
      </c>
      <c r="F102" s="3" t="s">
        <v>544</v>
      </c>
      <c r="G102" s="3" t="s">
        <v>15</v>
      </c>
      <c r="H102" s="3" t="s">
        <v>43</v>
      </c>
      <c r="I102" s="3" t="s">
        <v>545</v>
      </c>
      <c r="J102" s="3" t="s">
        <v>17</v>
      </c>
    </row>
    <row r="103" spans="1:10" ht="45" customHeight="1" x14ac:dyDescent="0.25">
      <c r="A103" s="4" t="s">
        <v>546</v>
      </c>
      <c r="B103" s="4" t="s">
        <v>301</v>
      </c>
      <c r="C103" s="4" t="s">
        <v>547</v>
      </c>
      <c r="D103" s="4" t="s">
        <v>74</v>
      </c>
      <c r="E103" s="4" t="s">
        <v>548</v>
      </c>
      <c r="F103" s="4" t="s">
        <v>101</v>
      </c>
      <c r="G103" s="4" t="s">
        <v>15</v>
      </c>
      <c r="H103" s="4" t="s">
        <v>43</v>
      </c>
      <c r="I103" s="4" t="s">
        <v>549</v>
      </c>
      <c r="J103" s="4" t="s">
        <v>17</v>
      </c>
    </row>
    <row r="104" spans="1:10" ht="45" customHeight="1" x14ac:dyDescent="0.25">
      <c r="A104" s="3" t="s">
        <v>550</v>
      </c>
      <c r="B104" s="3" t="s">
        <v>301</v>
      </c>
      <c r="C104" s="3" t="s">
        <v>547</v>
      </c>
      <c r="D104" s="3" t="s">
        <v>22</v>
      </c>
      <c r="E104" s="3" t="s">
        <v>551</v>
      </c>
      <c r="F104" s="3" t="s">
        <v>101</v>
      </c>
      <c r="G104" s="3" t="s">
        <v>15</v>
      </c>
      <c r="H104" s="3" t="s">
        <v>43</v>
      </c>
      <c r="I104" s="3" t="s">
        <v>552</v>
      </c>
      <c r="J104" s="3" t="s">
        <v>17</v>
      </c>
    </row>
    <row r="105" spans="1:10" ht="45" customHeight="1" x14ac:dyDescent="0.25">
      <c r="A105" s="4" t="s">
        <v>553</v>
      </c>
      <c r="B105" s="4" t="s">
        <v>554</v>
      </c>
      <c r="C105" s="4" t="s">
        <v>555</v>
      </c>
      <c r="D105" s="4" t="s">
        <v>80</v>
      </c>
      <c r="E105" s="4" t="s">
        <v>556</v>
      </c>
      <c r="F105" s="4" t="s">
        <v>557</v>
      </c>
      <c r="G105" s="4" t="s">
        <v>15</v>
      </c>
      <c r="H105" s="4" t="s">
        <v>43</v>
      </c>
      <c r="I105" s="4" t="s">
        <v>558</v>
      </c>
      <c r="J105" s="4" t="s">
        <v>17</v>
      </c>
    </row>
    <row r="106" spans="1:10" ht="45" customHeight="1" x14ac:dyDescent="0.25">
      <c r="A106" s="3" t="s">
        <v>559</v>
      </c>
      <c r="B106" s="3" t="s">
        <v>554</v>
      </c>
      <c r="C106" s="3" t="s">
        <v>560</v>
      </c>
      <c r="D106" s="3" t="s">
        <v>22</v>
      </c>
      <c r="E106" s="3" t="s">
        <v>561</v>
      </c>
      <c r="F106" s="3" t="s">
        <v>562</v>
      </c>
      <c r="G106" s="3" t="s">
        <v>15</v>
      </c>
      <c r="H106" s="3" t="s">
        <v>43</v>
      </c>
      <c r="I106" s="3" t="s">
        <v>563</v>
      </c>
      <c r="J106" s="3" t="s">
        <v>17</v>
      </c>
    </row>
    <row r="107" spans="1:10" ht="45" customHeight="1" x14ac:dyDescent="0.25">
      <c r="A107" s="4" t="s">
        <v>564</v>
      </c>
      <c r="B107" s="4" t="s">
        <v>554</v>
      </c>
      <c r="C107" s="4" t="s">
        <v>565</v>
      </c>
      <c r="D107" s="4" t="s">
        <v>566</v>
      </c>
      <c r="E107" s="4" t="s">
        <v>567</v>
      </c>
      <c r="F107" s="4" t="s">
        <v>568</v>
      </c>
      <c r="G107" s="4" t="s">
        <v>15</v>
      </c>
      <c r="H107" s="4" t="s">
        <v>43</v>
      </c>
      <c r="I107" s="4" t="s">
        <v>569</v>
      </c>
      <c r="J107" s="4" t="s">
        <v>17</v>
      </c>
    </row>
    <row r="108" spans="1:10" ht="45" customHeight="1" x14ac:dyDescent="0.25">
      <c r="A108" s="3" t="s">
        <v>570</v>
      </c>
      <c r="B108" s="3" t="s">
        <v>554</v>
      </c>
      <c r="C108" s="3" t="s">
        <v>571</v>
      </c>
      <c r="D108" s="3" t="s">
        <v>362</v>
      </c>
      <c r="E108" s="3" t="s">
        <v>572</v>
      </c>
      <c r="F108" s="3" t="s">
        <v>573</v>
      </c>
      <c r="G108" s="3" t="s">
        <v>15</v>
      </c>
      <c r="H108" s="3" t="s">
        <v>289</v>
      </c>
      <c r="I108" s="3" t="s">
        <v>574</v>
      </c>
      <c r="J108" s="3" t="s">
        <v>17</v>
      </c>
    </row>
    <row r="109" spans="1:10" ht="45" customHeight="1" x14ac:dyDescent="0.25">
      <c r="A109" s="4" t="s">
        <v>575</v>
      </c>
      <c r="B109" s="4" t="s">
        <v>554</v>
      </c>
      <c r="C109" s="4" t="s">
        <v>576</v>
      </c>
      <c r="D109" s="4" t="s">
        <v>80</v>
      </c>
      <c r="E109" s="4" t="s">
        <v>577</v>
      </c>
      <c r="F109" s="4" t="s">
        <v>578</v>
      </c>
      <c r="G109" s="4" t="s">
        <v>15</v>
      </c>
      <c r="H109" s="4" t="s">
        <v>43</v>
      </c>
      <c r="I109" s="4" t="s">
        <v>579</v>
      </c>
      <c r="J109" s="4" t="s">
        <v>17</v>
      </c>
    </row>
    <row r="110" spans="1:10" ht="45" customHeight="1" x14ac:dyDescent="0.25">
      <c r="A110" s="3" t="s">
        <v>580</v>
      </c>
      <c r="B110" s="3" t="s">
        <v>554</v>
      </c>
      <c r="C110" s="3" t="s">
        <v>581</v>
      </c>
      <c r="D110" s="3" t="s">
        <v>422</v>
      </c>
      <c r="E110" s="3" t="s">
        <v>582</v>
      </c>
      <c r="F110" s="3" t="s">
        <v>583</v>
      </c>
      <c r="G110" s="3" t="s">
        <v>15</v>
      </c>
      <c r="H110" s="3" t="s">
        <v>43</v>
      </c>
      <c r="I110" s="3" t="s">
        <v>584</v>
      </c>
      <c r="J110" s="3" t="s">
        <v>17</v>
      </c>
    </row>
    <row r="111" spans="1:10" ht="45" customHeight="1" x14ac:dyDescent="0.25">
      <c r="A111" s="4" t="s">
        <v>585</v>
      </c>
      <c r="B111" s="4" t="s">
        <v>586</v>
      </c>
      <c r="C111" s="4" t="s">
        <v>587</v>
      </c>
      <c r="D111" s="4" t="s">
        <v>588</v>
      </c>
      <c r="E111" s="4" t="s">
        <v>589</v>
      </c>
      <c r="F111" s="4" t="s">
        <v>590</v>
      </c>
      <c r="G111" s="4" t="s">
        <v>15</v>
      </c>
      <c r="H111" s="4" t="s">
        <v>43</v>
      </c>
      <c r="I111" s="4" t="s">
        <v>591</v>
      </c>
      <c r="J111" s="4" t="s">
        <v>17</v>
      </c>
    </row>
    <row r="112" spans="1:10" ht="45" customHeight="1" x14ac:dyDescent="0.25">
      <c r="A112" s="3" t="s">
        <v>592</v>
      </c>
      <c r="B112" s="3" t="s">
        <v>586</v>
      </c>
      <c r="C112" s="3" t="s">
        <v>593</v>
      </c>
      <c r="D112" s="3" t="s">
        <v>594</v>
      </c>
      <c r="E112" s="3" t="s">
        <v>595</v>
      </c>
      <c r="F112" s="3" t="s">
        <v>596</v>
      </c>
      <c r="G112" s="3" t="s">
        <v>15</v>
      </c>
      <c r="H112" s="3" t="s">
        <v>289</v>
      </c>
      <c r="I112" s="3" t="s">
        <v>597</v>
      </c>
      <c r="J112" s="3" t="s">
        <v>17</v>
      </c>
    </row>
    <row r="113" spans="1:10" ht="45" customHeight="1" x14ac:dyDescent="0.25">
      <c r="A113" s="4" t="s">
        <v>598</v>
      </c>
      <c r="B113" s="4" t="s">
        <v>586</v>
      </c>
      <c r="C113" s="4" t="s">
        <v>599</v>
      </c>
      <c r="D113" s="4" t="s">
        <v>600</v>
      </c>
      <c r="E113" s="4" t="s">
        <v>601</v>
      </c>
      <c r="F113" s="4" t="s">
        <v>602</v>
      </c>
      <c r="G113" s="4" t="s">
        <v>15</v>
      </c>
      <c r="H113" s="4" t="s">
        <v>43</v>
      </c>
      <c r="I113" s="4" t="s">
        <v>603</v>
      </c>
      <c r="J113" s="4" t="s">
        <v>17</v>
      </c>
    </row>
    <row r="114" spans="1:10" ht="45" customHeight="1" x14ac:dyDescent="0.25">
      <c r="A114" s="3" t="s">
        <v>604</v>
      </c>
      <c r="B114" s="3" t="s">
        <v>586</v>
      </c>
      <c r="C114" s="3" t="s">
        <v>605</v>
      </c>
      <c r="D114" s="3" t="s">
        <v>92</v>
      </c>
      <c r="E114" s="3" t="s">
        <v>606</v>
      </c>
      <c r="F114" s="3" t="s">
        <v>607</v>
      </c>
      <c r="G114" s="3" t="s">
        <v>15</v>
      </c>
      <c r="H114" s="3" t="s">
        <v>289</v>
      </c>
      <c r="I114" s="3" t="s">
        <v>608</v>
      </c>
      <c r="J114" s="3" t="s">
        <v>17</v>
      </c>
    </row>
    <row r="115" spans="1:10" ht="45" customHeight="1" x14ac:dyDescent="0.25">
      <c r="A115" s="4" t="s">
        <v>609</v>
      </c>
      <c r="B115" s="4" t="s">
        <v>586</v>
      </c>
      <c r="C115" s="4" t="s">
        <v>610</v>
      </c>
      <c r="D115" s="4" t="s">
        <v>260</v>
      </c>
      <c r="E115" s="4" t="s">
        <v>611</v>
      </c>
      <c r="F115" s="4" t="s">
        <v>612</v>
      </c>
      <c r="G115" s="4" t="s">
        <v>15</v>
      </c>
      <c r="H115" s="4" t="s">
        <v>289</v>
      </c>
      <c r="I115" s="4" t="s">
        <v>613</v>
      </c>
      <c r="J115" s="4" t="s">
        <v>17</v>
      </c>
    </row>
    <row r="116" spans="1:10" ht="45" customHeight="1" x14ac:dyDescent="0.25">
      <c r="A116" s="3" t="s">
        <v>614</v>
      </c>
      <c r="B116" s="3" t="s">
        <v>615</v>
      </c>
      <c r="C116" s="3" t="s">
        <v>616</v>
      </c>
      <c r="D116" s="3" t="s">
        <v>22</v>
      </c>
      <c r="E116" s="3" t="s">
        <v>617</v>
      </c>
      <c r="F116" s="3" t="s">
        <v>618</v>
      </c>
      <c r="G116" s="3" t="s">
        <v>15</v>
      </c>
      <c r="H116" s="3" t="s">
        <v>43</v>
      </c>
      <c r="I116" s="3" t="s">
        <v>619</v>
      </c>
      <c r="J116" s="3" t="s">
        <v>17</v>
      </c>
    </row>
    <row r="117" spans="1:10" ht="45" customHeight="1" x14ac:dyDescent="0.25">
      <c r="A117" s="4" t="s">
        <v>620</v>
      </c>
      <c r="B117" s="4" t="s">
        <v>615</v>
      </c>
      <c r="C117" s="4" t="s">
        <v>621</v>
      </c>
      <c r="D117" s="4" t="s">
        <v>92</v>
      </c>
      <c r="E117" s="4" t="s">
        <v>622</v>
      </c>
      <c r="F117" s="4" t="s">
        <v>623</v>
      </c>
      <c r="G117" s="4" t="s">
        <v>15</v>
      </c>
      <c r="H117" s="4" t="s">
        <v>43</v>
      </c>
      <c r="I117" s="4" t="s">
        <v>624</v>
      </c>
      <c r="J117" s="4" t="s">
        <v>17</v>
      </c>
    </row>
    <row r="118" spans="1:10" ht="45" customHeight="1" x14ac:dyDescent="0.25">
      <c r="A118" s="3" t="s">
        <v>625</v>
      </c>
      <c r="B118" s="3" t="s">
        <v>615</v>
      </c>
      <c r="C118" s="3" t="s">
        <v>626</v>
      </c>
      <c r="D118" s="3" t="s">
        <v>627</v>
      </c>
      <c r="E118" s="3" t="s">
        <v>628</v>
      </c>
      <c r="F118" s="3" t="s">
        <v>629</v>
      </c>
      <c r="G118" s="3" t="s">
        <v>15</v>
      </c>
      <c r="H118" s="3" t="s">
        <v>16</v>
      </c>
      <c r="I118" s="3" t="s">
        <v>630</v>
      </c>
      <c r="J118" s="3" t="s">
        <v>17</v>
      </c>
    </row>
    <row r="119" spans="1:10" ht="45" customHeight="1" x14ac:dyDescent="0.25">
      <c r="A119" s="4" t="s">
        <v>631</v>
      </c>
      <c r="B119" s="4" t="s">
        <v>615</v>
      </c>
      <c r="C119" s="4" t="s">
        <v>632</v>
      </c>
      <c r="D119" s="4" t="s">
        <v>47</v>
      </c>
      <c r="E119" s="4" t="s">
        <v>633</v>
      </c>
      <c r="F119" s="4" t="s">
        <v>634</v>
      </c>
      <c r="G119" s="4" t="s">
        <v>15</v>
      </c>
      <c r="H119" s="4" t="s">
        <v>16</v>
      </c>
      <c r="I119" s="4" t="s">
        <v>635</v>
      </c>
      <c r="J119" s="4" t="s">
        <v>17</v>
      </c>
    </row>
    <row r="120" spans="1:10" ht="45" customHeight="1" x14ac:dyDescent="0.25">
      <c r="A120" s="3" t="s">
        <v>636</v>
      </c>
      <c r="B120" s="3" t="s">
        <v>615</v>
      </c>
      <c r="C120" s="3" t="s">
        <v>637</v>
      </c>
      <c r="D120" s="3" t="s">
        <v>140</v>
      </c>
      <c r="E120" s="3" t="s">
        <v>638</v>
      </c>
      <c r="F120" s="3" t="s">
        <v>639</v>
      </c>
      <c r="G120" s="3" t="s">
        <v>15</v>
      </c>
      <c r="H120" s="3" t="s">
        <v>16</v>
      </c>
      <c r="I120" s="3" t="s">
        <v>640</v>
      </c>
      <c r="J120" s="3" t="s">
        <v>17</v>
      </c>
    </row>
    <row r="121" spans="1:10" ht="45" customHeight="1" x14ac:dyDescent="0.25">
      <c r="A121" s="4" t="s">
        <v>641</v>
      </c>
      <c r="B121" s="4" t="s">
        <v>642</v>
      </c>
      <c r="C121" s="4" t="s">
        <v>643</v>
      </c>
      <c r="D121" s="4" t="s">
        <v>644</v>
      </c>
      <c r="E121" s="4" t="s">
        <v>645</v>
      </c>
      <c r="F121" s="4" t="s">
        <v>646</v>
      </c>
      <c r="G121" s="4" t="s">
        <v>118</v>
      </c>
      <c r="H121" s="4" t="s">
        <v>16</v>
      </c>
      <c r="I121" s="4" t="s">
        <v>647</v>
      </c>
      <c r="J121" s="4" t="s">
        <v>648</v>
      </c>
    </row>
    <row r="122" spans="1:10" ht="45" customHeight="1" x14ac:dyDescent="0.25">
      <c r="A122" s="3" t="s">
        <v>649</v>
      </c>
      <c r="B122" s="3" t="s">
        <v>642</v>
      </c>
      <c r="C122" s="3" t="s">
        <v>650</v>
      </c>
      <c r="D122" s="3" t="s">
        <v>398</v>
      </c>
      <c r="E122" s="3" t="s">
        <v>651</v>
      </c>
      <c r="F122" s="3" t="s">
        <v>652</v>
      </c>
      <c r="G122" s="3" t="s">
        <v>118</v>
      </c>
      <c r="H122" s="3" t="s">
        <v>16</v>
      </c>
      <c r="I122" s="3" t="s">
        <v>653</v>
      </c>
      <c r="J122" s="3" t="s">
        <v>648</v>
      </c>
    </row>
    <row r="123" spans="1:10" ht="45" customHeight="1" x14ac:dyDescent="0.25">
      <c r="A123" s="4" t="s">
        <v>654</v>
      </c>
      <c r="B123" s="4" t="s">
        <v>473</v>
      </c>
      <c r="C123" s="4" t="s">
        <v>655</v>
      </c>
      <c r="D123" s="4" t="s">
        <v>656</v>
      </c>
      <c r="E123" s="4" t="s">
        <v>657</v>
      </c>
      <c r="F123" s="4" t="s">
        <v>658</v>
      </c>
      <c r="G123" s="4" t="s">
        <v>118</v>
      </c>
      <c r="H123" s="4" t="s">
        <v>16</v>
      </c>
      <c r="I123" s="4" t="s">
        <v>659</v>
      </c>
      <c r="J123" s="4" t="s">
        <v>648</v>
      </c>
    </row>
    <row r="124" spans="1:10" ht="45" customHeight="1" x14ac:dyDescent="0.25">
      <c r="A124" s="3" t="s">
        <v>660</v>
      </c>
      <c r="B124" s="3" t="s">
        <v>661</v>
      </c>
      <c r="C124" s="3" t="s">
        <v>662</v>
      </c>
      <c r="D124" s="3" t="s">
        <v>92</v>
      </c>
      <c r="E124" s="3" t="s">
        <v>663</v>
      </c>
      <c r="F124" s="3" t="s">
        <v>664</v>
      </c>
      <c r="G124" s="3" t="s">
        <v>118</v>
      </c>
      <c r="H124" s="3" t="s">
        <v>16</v>
      </c>
      <c r="I124" s="3" t="s">
        <v>665</v>
      </c>
      <c r="J124" s="3" t="s">
        <v>648</v>
      </c>
    </row>
    <row r="125" spans="1:10" ht="45" customHeight="1" x14ac:dyDescent="0.25">
      <c r="A125" s="4" t="s">
        <v>666</v>
      </c>
      <c r="B125" s="4" t="s">
        <v>667</v>
      </c>
      <c r="C125" s="4" t="s">
        <v>668</v>
      </c>
      <c r="D125" s="4" t="s">
        <v>92</v>
      </c>
      <c r="E125" s="4" t="s">
        <v>669</v>
      </c>
      <c r="F125" s="4" t="s">
        <v>670</v>
      </c>
      <c r="G125" s="4" t="s">
        <v>118</v>
      </c>
      <c r="H125" s="4" t="s">
        <v>16</v>
      </c>
      <c r="I125" s="4" t="s">
        <v>671</v>
      </c>
      <c r="J125" s="4" t="s">
        <v>648</v>
      </c>
    </row>
    <row r="126" spans="1:10" ht="45" customHeight="1" x14ac:dyDescent="0.25">
      <c r="A126" s="3" t="s">
        <v>672</v>
      </c>
      <c r="B126" s="3" t="s">
        <v>667</v>
      </c>
      <c r="C126" s="3" t="s">
        <v>673</v>
      </c>
      <c r="D126" s="3" t="s">
        <v>92</v>
      </c>
      <c r="E126" s="3" t="s">
        <v>674</v>
      </c>
      <c r="F126" s="3" t="s">
        <v>23</v>
      </c>
      <c r="G126" s="3" t="s">
        <v>118</v>
      </c>
      <c r="H126" s="3" t="s">
        <v>16</v>
      </c>
      <c r="I126" s="3" t="s">
        <v>675</v>
      </c>
      <c r="J126" s="3" t="s">
        <v>648</v>
      </c>
    </row>
    <row r="127" spans="1:10" ht="45" customHeight="1" x14ac:dyDescent="0.25">
      <c r="A127" s="4" t="s">
        <v>676</v>
      </c>
      <c r="B127" s="4" t="s">
        <v>677</v>
      </c>
      <c r="C127" s="4" t="s">
        <v>678</v>
      </c>
      <c r="D127" s="4" t="s">
        <v>92</v>
      </c>
      <c r="E127" s="4" t="s">
        <v>679</v>
      </c>
      <c r="F127" s="4" t="s">
        <v>680</v>
      </c>
      <c r="G127" s="4" t="s">
        <v>118</v>
      </c>
      <c r="H127" s="4" t="s">
        <v>16</v>
      </c>
      <c r="I127" s="4" t="s">
        <v>681</v>
      </c>
      <c r="J127" s="4" t="s">
        <v>648</v>
      </c>
    </row>
    <row r="128" spans="1:10" ht="45" customHeight="1" x14ac:dyDescent="0.25">
      <c r="A128" s="3" t="s">
        <v>682</v>
      </c>
      <c r="B128" s="3" t="s">
        <v>667</v>
      </c>
      <c r="C128" s="3" t="s">
        <v>683</v>
      </c>
      <c r="D128" s="3" t="s">
        <v>92</v>
      </c>
      <c r="E128" s="3" t="s">
        <v>684</v>
      </c>
      <c r="F128" s="3" t="s">
        <v>685</v>
      </c>
      <c r="G128" s="3" t="s">
        <v>118</v>
      </c>
      <c r="H128" s="3" t="s">
        <v>16</v>
      </c>
      <c r="I128" s="3" t="s">
        <v>686</v>
      </c>
      <c r="J128" s="3" t="s">
        <v>648</v>
      </c>
    </row>
    <row r="129" spans="1:10" ht="45" customHeight="1" x14ac:dyDescent="0.25">
      <c r="A129" s="4" t="s">
        <v>687</v>
      </c>
      <c r="B129" s="4" t="s">
        <v>688</v>
      </c>
      <c r="C129" s="4" t="s">
        <v>689</v>
      </c>
      <c r="D129" s="4" t="s">
        <v>690</v>
      </c>
      <c r="E129" s="4" t="s">
        <v>691</v>
      </c>
      <c r="F129" s="4" t="s">
        <v>692</v>
      </c>
      <c r="G129" s="4" t="s">
        <v>118</v>
      </c>
      <c r="H129" s="4" t="s">
        <v>16</v>
      </c>
      <c r="I129" s="4" t="s">
        <v>693</v>
      </c>
      <c r="J129" s="4" t="s">
        <v>648</v>
      </c>
    </row>
    <row r="130" spans="1:10" ht="45" customHeight="1" x14ac:dyDescent="0.25">
      <c r="A130" s="3" t="s">
        <v>694</v>
      </c>
      <c r="B130" s="3" t="s">
        <v>688</v>
      </c>
      <c r="C130" s="3" t="s">
        <v>695</v>
      </c>
      <c r="D130" s="3" t="s">
        <v>696</v>
      </c>
      <c r="E130" s="3" t="s">
        <v>697</v>
      </c>
      <c r="F130" s="3" t="s">
        <v>698</v>
      </c>
      <c r="G130" s="3" t="s">
        <v>118</v>
      </c>
      <c r="H130" s="3" t="s">
        <v>16</v>
      </c>
      <c r="I130" s="3" t="s">
        <v>699</v>
      </c>
      <c r="J130" s="3" t="s">
        <v>648</v>
      </c>
    </row>
    <row r="131" spans="1:10" ht="45" customHeight="1" x14ac:dyDescent="0.25">
      <c r="A131" s="4" t="s">
        <v>700</v>
      </c>
      <c r="B131" s="4" t="s">
        <v>701</v>
      </c>
      <c r="C131" s="4" t="s">
        <v>702</v>
      </c>
      <c r="D131" s="4" t="s">
        <v>703</v>
      </c>
      <c r="E131" s="4" t="s">
        <v>704</v>
      </c>
      <c r="F131" s="4" t="s">
        <v>705</v>
      </c>
      <c r="G131" s="4" t="s">
        <v>118</v>
      </c>
      <c r="H131" s="4" t="s">
        <v>16</v>
      </c>
      <c r="I131" s="4" t="s">
        <v>706</v>
      </c>
      <c r="J131" s="4" t="s">
        <v>648</v>
      </c>
    </row>
    <row r="132" spans="1:10" ht="45" customHeight="1" x14ac:dyDescent="0.25">
      <c r="A132" s="3" t="s">
        <v>707</v>
      </c>
      <c r="B132" s="3" t="s">
        <v>701</v>
      </c>
      <c r="C132" s="3" t="s">
        <v>708</v>
      </c>
      <c r="D132" s="3" t="s">
        <v>709</v>
      </c>
      <c r="E132" s="3" t="s">
        <v>710</v>
      </c>
      <c r="F132" s="3" t="s">
        <v>711</v>
      </c>
      <c r="G132" s="3" t="s">
        <v>118</v>
      </c>
      <c r="H132" s="3" t="s">
        <v>16</v>
      </c>
      <c r="I132" s="3" t="s">
        <v>712</v>
      </c>
      <c r="J132" s="3" t="s">
        <v>648</v>
      </c>
    </row>
    <row r="133" spans="1:10" ht="45" customHeight="1" x14ac:dyDescent="0.25">
      <c r="A133" s="4" t="s">
        <v>713</v>
      </c>
      <c r="B133" s="4" t="s">
        <v>701</v>
      </c>
      <c r="C133" s="4" t="s">
        <v>714</v>
      </c>
      <c r="D133" s="4" t="s">
        <v>92</v>
      </c>
      <c r="E133" s="4" t="s">
        <v>715</v>
      </c>
      <c r="F133" s="4" t="s">
        <v>716</v>
      </c>
      <c r="G133" s="4" t="s">
        <v>118</v>
      </c>
      <c r="H133" s="4" t="s">
        <v>16</v>
      </c>
      <c r="I133" s="4" t="s">
        <v>717</v>
      </c>
      <c r="J133" s="4" t="s">
        <v>648</v>
      </c>
    </row>
    <row r="134" spans="1:10" ht="45" customHeight="1" x14ac:dyDescent="0.25">
      <c r="A134" s="3" t="s">
        <v>718</v>
      </c>
      <c r="B134" s="3" t="s">
        <v>642</v>
      </c>
      <c r="C134" s="3" t="s">
        <v>719</v>
      </c>
      <c r="D134" s="3" t="s">
        <v>720</v>
      </c>
      <c r="E134" s="3" t="s">
        <v>721</v>
      </c>
      <c r="F134" s="3" t="s">
        <v>722</v>
      </c>
      <c r="G134" s="3" t="s">
        <v>118</v>
      </c>
      <c r="H134" s="3" t="s">
        <v>16</v>
      </c>
      <c r="I134" s="3" t="s">
        <v>723</v>
      </c>
      <c r="J134" s="3" t="s">
        <v>648</v>
      </c>
    </row>
    <row r="135" spans="1:10" ht="45" customHeight="1" x14ac:dyDescent="0.25">
      <c r="A135" s="4" t="s">
        <v>724</v>
      </c>
      <c r="B135" s="4" t="s">
        <v>642</v>
      </c>
      <c r="C135" s="4" t="s">
        <v>725</v>
      </c>
      <c r="D135" s="4" t="s">
        <v>92</v>
      </c>
      <c r="E135" s="4" t="s">
        <v>726</v>
      </c>
      <c r="F135" s="4" t="s">
        <v>14</v>
      </c>
      <c r="G135" s="4" t="s">
        <v>118</v>
      </c>
      <c r="H135" s="4" t="s">
        <v>16</v>
      </c>
      <c r="I135" s="4" t="s">
        <v>727</v>
      </c>
      <c r="J135" s="4" t="s">
        <v>648</v>
      </c>
    </row>
  </sheetData>
  <autoFilter ref="A1:J1" xr:uid="{80C7DC4E-3AC5-4AD6-858C-A36E3561E387}"/>
  <conditionalFormatting sqref="H2:H135">
    <cfRule type="containsText" dxfId="12" priority="1" operator="containsText" text="high">
      <formula>NOT(ISERROR(SEARCH("high",H2)))</formula>
    </cfRule>
  </conditionalFormatting>
  <conditionalFormatting sqref="H2:H135">
    <cfRule type="containsText" dxfId="11" priority="2" operator="containsText" text="medium">
      <formula>NOT(ISERROR(SEARCH("medium",H2)))</formula>
    </cfRule>
  </conditionalFormatting>
  <conditionalFormatting sqref="H2:H135">
    <cfRule type="containsText" dxfId="10" priority="3" operator="containsText" text="low">
      <formula>NOT(ISERROR(SEARCH("low",H2)))</formula>
    </cfRule>
  </conditionalFormatting>
  <conditionalFormatting sqref="G2:G135">
    <cfRule type="containsText" dxfId="9" priority="4" operator="containsText" text="yes">
      <formula>NOT(ISERROR(SEARCH("yes",G2)))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Decision Maker Roles</vt:lpstr>
      <vt:lpstr>Target Firms</vt:lpstr>
      <vt:lpstr>Supplier 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Jerit Norville</cp:lastModifiedBy>
  <dcterms:created xsi:type="dcterms:W3CDTF">2018-06-07T17:34:22Z</dcterms:created>
  <dcterms:modified xsi:type="dcterms:W3CDTF">2026-04-15T05:28:47Z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